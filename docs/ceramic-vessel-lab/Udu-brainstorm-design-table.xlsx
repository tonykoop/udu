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ny\Documents\GitHub\instrument-maker\docs\"/>
    </mc:Choice>
  </mc:AlternateContent>
  <xr:revisionPtr revIDLastSave="0" documentId="8_{CCFD3AC8-92C5-43DE-AD25-23B37088409D}" xr6:coauthVersionLast="47" xr6:coauthVersionMax="47" xr10:uidLastSave="{00000000-0000-0000-0000-000000000000}"/>
  <bookViews>
    <workbookView xWindow="5145" yWindow="2715" windowWidth="33480" windowHeight="31080" xr2:uid="{A6FB09E3-501C-4068-8E1E-42C2E61D3B25}"/>
  </bookViews>
  <sheets>
    <sheet name="Udu Drum Famil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2" i="1" l="1"/>
  <c r="B17" i="1"/>
  <c r="B16" i="1"/>
  <c r="B19" i="1" l="1"/>
  <c r="B18" i="1"/>
  <c r="B23" i="1"/>
  <c r="B24" i="1" s="1"/>
  <c r="B25" i="1" s="1"/>
  <c r="B27" i="1" l="1"/>
  <c r="B20" i="1"/>
</calcChain>
</file>

<file path=xl/sharedStrings.xml><?xml version="1.0" encoding="utf-8"?>
<sst xmlns="http://schemas.openxmlformats.org/spreadsheetml/2006/main" count="254" uniqueCount="251">
  <si>
    <t>Udu Drum Family — Dual Helmholtz Ceramic Pot Drum</t>
  </si>
  <si>
    <t>Nigerian Igbo tradition · Slip cast or wheel thrown · Two openings = two Helmholtz bass tones · Idiophone + Aerophone hybrid</t>
  </si>
  <si>
    <t>DESIGN INPUTS — Medium (Standard) Udu</t>
  </si>
  <si>
    <t>Body Diameter (in)</t>
  </si>
  <si>
    <t>← Ovoid body widest point</t>
  </si>
  <si>
    <t>Body Height (in)</t>
  </si>
  <si>
    <t>Wall Thickness (in)</t>
  </si>
  <si>
    <t>← ~7-8mm; thicker = brighter tap, less bass</t>
  </si>
  <si>
    <t>Mouth Diameter (in)</t>
  </si>
  <si>
    <t>← Top opening; larger = higher Helmholtz tone</t>
  </si>
  <si>
    <t>Side Hole Diameter (in)</t>
  </si>
  <si>
    <t>← Slap hole; smaller = deeper bass pulse</t>
  </si>
  <si>
    <t>Shape Factor</t>
  </si>
  <si>
    <t>← 0.5=elongated, 0.7=ovoid, 0.9=spherical</t>
  </si>
  <si>
    <t>Clay Body</t>
  </si>
  <si>
    <t>Cone 6 Stoneware</t>
  </si>
  <si>
    <t>Shrinkage %</t>
  </si>
  <si>
    <t>← Build oversized; shrinks to target after firing</t>
  </si>
  <si>
    <t>Speed of Sound (in/s)</t>
  </si>
  <si>
    <t>← Air at ~68°F (20°C)</t>
  </si>
  <si>
    <t>DUAL HELMHOLTZ RESONANCE — f = (c/2π) × √(A / (V × L_eff))</t>
  </si>
  <si>
    <t>Body Volume (in³)</t>
  </si>
  <si>
    <t>← = π/6 × D² × H × shape_factor</t>
  </si>
  <si>
    <t>Mouth Area (in²)</t>
  </si>
  <si>
    <t>Mouth L_eff (in)</t>
  </si>
  <si>
    <t>← wall + end correction</t>
  </si>
  <si>
    <t>Mouth Helmholtz Freq (Hz)</t>
  </si>
  <si>
    <t>Mouth Nearest Note</t>
  </si>
  <si>
    <t>Side Hole Area (in²)</t>
  </si>
  <si>
    <t>Side Hole L_eff (in)</t>
  </si>
  <si>
    <t>Side Hole Helmholtz Freq (Hz)</t>
  </si>
  <si>
    <t>Side Hole Nearest Note</t>
  </si>
  <si>
    <t>Interval (semitones)</t>
  </si>
  <si>
    <t>← Mouth is higher pitch; positive = mouth above side hole</t>
  </si>
  <si>
    <t>UDU FAMILY — 4 Sizes + 2 Variants</t>
  </si>
  <si>
    <t>Model</t>
  </si>
  <si>
    <t>Diam (in)</t>
  </si>
  <si>
    <t>Height (in)</t>
  </si>
  <si>
    <t>Vol (in³)</t>
  </si>
  <si>
    <t>Mouth Hz</t>
  </si>
  <si>
    <t>Side Hz</t>
  </si>
  <si>
    <t>Bass Range</t>
  </si>
  <si>
    <t>Best For</t>
  </si>
  <si>
    <t>Small (tabla-style)</t>
  </si>
  <si>
    <t>D#4 (311)</t>
  </si>
  <si>
    <t>A3 (223)</t>
  </si>
  <si>
    <t>A3–D#4</t>
  </si>
  <si>
    <t>Tabletop, small venues, high tones</t>
  </si>
  <si>
    <t>Medium (standard) ⭐</t>
  </si>
  <si>
    <t>B3 (249)</t>
  </si>
  <si>
    <t>G3 (192)</t>
  </si>
  <si>
    <t>G3–B3</t>
  </si>
  <si>
    <t>Most versatile; the classic Udu size</t>
  </si>
  <si>
    <t>Large (Nigerian)</t>
  </si>
  <si>
    <t>G#3 (207)</t>
  </si>
  <si>
    <t>D3 (144)</t>
  </si>
  <si>
    <t>D3–G#3</t>
  </si>
  <si>
    <t>Deep bass; traditional ceremonial size</t>
  </si>
  <si>
    <t>XL (concert bass)</t>
  </si>
  <si>
    <t>F3 (178)</t>
  </si>
  <si>
    <t>C3 (131)</t>
  </si>
  <si>
    <t>C3–F3</t>
  </si>
  <si>
    <t>Sub-bass; orchestra/studio, needs stand</t>
  </si>
  <si>
    <t>VARIANTS</t>
  </si>
  <si>
    <t>Utar (dual-chamber)</t>
  </si>
  <si>
    <t>Two connected pots</t>
  </si>
  <si>
    <t>Narrow neck joins two chambers</t>
  </si>
  <si>
    <t>Two different Helmholtz tones per chamber</t>
  </si>
  <si>
    <t>F#3 + D4 (large)</t>
  </si>
  <si>
    <t>Kim Kim (side hole)</t>
  </si>
  <si>
    <t>Spherical, side hole only</t>
  </si>
  <si>
    <t>No neck; just a round pot</t>
  </si>
  <si>
    <t>Simpler form, one dominant bass tone</t>
  </si>
  <si>
    <t>Igbo ceremonial</t>
  </si>
  <si>
    <t>Claytone (LP style)</t>
  </si>
  <si>
    <t>Elongated with long neck</t>
  </si>
  <si>
    <t>14" tall, neck adds overtones</t>
  </si>
  <si>
    <t>Commercial; chrome/terracotta glaze</t>
  </si>
  <si>
    <t>LP Percussion</t>
  </si>
  <si>
    <t>Udongo (Kenyan)</t>
  </si>
  <si>
    <t>Gourd-shaped</t>
  </si>
  <si>
    <t>Wider bottom, narrow top</t>
  </si>
  <si>
    <t>More body tap tones from thin walls</t>
  </si>
  <si>
    <t>East African</t>
  </si>
  <si>
    <t>Water Udu</t>
  </si>
  <si>
    <t>Partially water-filled</t>
  </si>
  <si>
    <t>Water changes volume = pitch bend</t>
  </si>
  <si>
    <t>Pitch shifts as you tilt — like a talking drum</t>
  </si>
  <si>
    <t>Iranian Kuzeh</t>
  </si>
  <si>
    <t>PLAYING TECHNIQUES — 5 Distinct Sounds from One Instrument</t>
  </si>
  <si>
    <t>Technique</t>
  </si>
  <si>
    <t>Action</t>
  </si>
  <si>
    <t>Sound</t>
  </si>
  <si>
    <t>Physics</t>
  </si>
  <si>
    <t>Pitch Range</t>
  </si>
  <si>
    <t>1. Mouth Slap (bass)</t>
  </si>
  <si>
    <t>Cup palm over mouth, slap and seal</t>
  </si>
  <si>
    <t>Deep "doom" — the signature Udu bass</t>
  </si>
  <si>
    <t>Helmholtz resonance of full cavity via mouth</t>
  </si>
  <si>
    <t>B3 (formula-calculated)</t>
  </si>
  <si>
    <t>2. Side Hole Pop</t>
  </si>
  <si>
    <t>Slap side hole with cupped hand, release</t>
  </si>
  <si>
    <t>"Plop" or "whoop" — pitch bends on release</t>
  </si>
  <si>
    <t>Helmholtz via smaller side opening</t>
  </si>
  <si>
    <t>G3 (formula-calculated)</t>
  </si>
  <si>
    <t>3. Body Tap (ceramic)</t>
  </si>
  <si>
    <t>Tap body surface with fingertips or knuckles</t>
  </si>
  <si>
    <t>Bright "tick" or "tock" — like a woodblock</t>
  </si>
  <si>
    <t>Shell vibration (idiophone); thinner wall = louder</t>
  </si>
  <si>
    <t>High (500-2000 Hz)</t>
  </si>
  <si>
    <t>4. Mouth Wah</t>
  </si>
  <si>
    <t>Slap mouth then slowly open/close hand</t>
  </si>
  <si>
    <t>Pitch bends up as hand opens — "wah-wah"</t>
  </si>
  <si>
    <t>Changing effective neck area in real time</t>
  </si>
  <si>
    <t>G3→B3 sweep</t>
  </si>
  <si>
    <t>5. Rim Roll</t>
  </si>
  <si>
    <t>Roll fingers rapidly around mouth rim</t>
  </si>
  <si>
    <t>Sustained resonant hum</t>
  </si>
  <si>
    <t>Exciting Helmholtz mode continuously</t>
  </si>
  <si>
    <t>At Helmholtz freq</t>
  </si>
  <si>
    <t>CERAMIC PRODUCTION — Slip Cast or Wheel Thrown</t>
  </si>
  <si>
    <t>#</t>
  </si>
  <si>
    <t>Method</t>
  </si>
  <si>
    <t>Pros</t>
  </si>
  <si>
    <t>Cons</t>
  </si>
  <si>
    <t>Tony Feasibility</t>
  </si>
  <si>
    <t>A</t>
  </si>
  <si>
    <t>Slip Casting (3D print master → plaster mold)</t>
  </si>
  <si>
    <t>Repeatable volume = consistent pitch; production scale</t>
  </si>
  <si>
    <t>2-piece mold needed; seam to finish; setup investment</t>
  </si>
  <si>
    <t>⭐ Best for family production</t>
  </si>
  <si>
    <t>B</t>
  </si>
  <si>
    <t>Wheel Throwing (traditional)</t>
  </si>
  <si>
    <t>Authentic; unique each piece; no mold needed</t>
  </si>
  <si>
    <t>Volume varies = pitch varies; skill intensive</t>
  </si>
  <si>
    <t>✅ If you have wheel access</t>
  </si>
  <si>
    <t>C</t>
  </si>
  <si>
    <t>Press Molding (2-part plaster)</t>
  </si>
  <si>
    <t>Faster than slip; good volume control</t>
  </si>
  <si>
    <t>Slab thickness harder to control vs slip</t>
  </si>
  <si>
    <t>✅ Good middle ground</t>
  </si>
  <si>
    <t>D</t>
  </si>
  <si>
    <t>Coil Building (hand)</t>
  </si>
  <si>
    <t>No equipment; most artistic freedom</t>
  </si>
  <si>
    <t>Slowest; least repeatable; cracks at coil joins</t>
  </si>
  <si>
    <t>⚠️ For one-offs only</t>
  </si>
  <si>
    <t>SLIP CAST WORKFLOW (recommended for Udu family)</t>
  </si>
  <si>
    <t>1. CAD the Udu profile in SolidWorks (use design inputs above; scale UP by 1/(1-shrinkage))</t>
  </si>
  <si>
    <t>2. 3D print the master positive (2 halves split at equator, alignment pins)</t>
  </si>
  <si>
    <t>3. Build plaster cottle (box) around each half, pour #1 Pottery Plaster, cure 24-48 hrs</t>
  </si>
  <si>
    <t>4. Remove 3D print, dry mold 5-7 days. Mold = 2 halves that clamp together</t>
  </si>
  <si>
    <t>5. Pour slip into assembled mold. Drain after target wall thickness builds (~7mm = 15-20 min)</t>
  </si>
  <si>
    <t>6. Demold when leather-hard (~2 hrs). Clean seam with sponge + rib</t>
  </si>
  <si>
    <t>7. Cut side hole with hole cutter while leather-hard. Smooth edges</t>
  </si>
  <si>
    <t>8. Dry slowly (1-2 weeks under plastic, then uncovered). NO cracks allowed</t>
  </si>
  <si>
    <t>9. Bisque fire to Cone 06 (~1830F). Test pitch — this is your tuning checkpoint</t>
  </si>
  <si>
    <t>10. Tune: enlarge side hole to LOWER the Helmholtz bass (careful! can only remove material)</t>
  </si>
  <si>
    <t>11. Glaze exterior (leave inside unglazed for better resonance). Fire to Cone 6 (2230F)</t>
  </si>
  <si>
    <t>12. Final pitch check — glaze adds mass + stiffness, may shift pitch slightly</t>
  </si>
  <si>
    <t>BILL OF MATERIALS</t>
  </si>
  <si>
    <t>Item</t>
  </si>
  <si>
    <t>Qty</t>
  </si>
  <si>
    <t>Spec</t>
  </si>
  <si>
    <t>Est. Cost</t>
  </si>
  <si>
    <t>Casting slip (Cone 6 stoneware)</t>
  </si>
  <si>
    <t>5 gal</t>
  </si>
  <si>
    <t>Commercial premixed; enough for 8-12 medium Udus</t>
  </si>
  <si>
    <t>$35-50</t>
  </si>
  <si>
    <t>#1 Pottery Plaster</t>
  </si>
  <si>
    <t>50 lbs</t>
  </si>
  <si>
    <t>For 2-part mold; 1 bag makes ~4 mold sets</t>
  </si>
  <si>
    <t>$25-35</t>
  </si>
  <si>
    <t>3D printed master (PLA)</t>
  </si>
  <si>
    <t>2 halves</t>
  </si>
  <si>
    <t>Scaled up by 1/(1-shrinkage); FDM fine, sand smooth</t>
  </si>
  <si>
    <t>$5-15</t>
  </si>
  <si>
    <t>Mold soap / release agent</t>
  </si>
  <si>
    <t>1 bottle</t>
  </si>
  <si>
    <t>Murphy's Oil Soap or commercial mold soap</t>
  </si>
  <si>
    <t>$8-12</t>
  </si>
  <si>
    <t>Hole cutter set</t>
  </si>
  <si>
    <t>1 set</t>
  </si>
  <si>
    <t>1.5", 2", 2.5", 3" round cutters for leather-hard clay</t>
  </si>
  <si>
    <t>$10-20</t>
  </si>
  <si>
    <t>Kiln firing (per load)</t>
  </si>
  <si>
    <t>2 fires</t>
  </si>
  <si>
    <t>Bisque Cone 06 + Glaze Cone 6; community kiln or own</t>
  </si>
  <si>
    <t>$20-50/fire</t>
  </si>
  <si>
    <t>Glaze (exterior)</t>
  </si>
  <si>
    <t>1 pint</t>
  </si>
  <si>
    <t>Cone 6; matte earth tones recommended for authentic look</t>
  </si>
  <si>
    <t>Rubber feet (set of 3)</t>
  </si>
  <si>
    <t>Self-adhesive; prevents sliding and dampens bottom</t>
  </si>
  <si>
    <t>$3-5</t>
  </si>
  <si>
    <t>Contact pickup (optional)</t>
  </si>
  <si>
    <t>Piezo disc; epoxy to inside wall near side hole</t>
  </si>
  <si>
    <t>$15-30</t>
  </si>
  <si>
    <t>STARTUP TOTAL (mold + materials)</t>
  </si>
  <si>
    <t>$131-247</t>
  </si>
  <si>
    <t>PER UDU (after mold is made)</t>
  </si>
  <si>
    <t>← Sell at $60-150 each</t>
  </si>
  <si>
    <t>$8-20</t>
  </si>
  <si>
    <t>DESIGN NOTES</t>
  </si>
  <si>
    <t>1. VOLUME CONTROLS PITCH. A 10% volume increase lowers the Helmholtz frequency by ~5%. This is why slip casting (consistent volume) beats wheel throwing for tuned sets.</t>
  </si>
  <si>
    <t>2. SIDE HOLE SIZE is your primary tuning control after firing. Enlarging it LOWERS the bass tone (counterintuitive: bigger hole = lower pitch because L_eff changes dominate at small sizes).</t>
  </si>
  <si>
    <t>3. WALL THICKNESS affects tap tone (idiophone) but NOT Helmholtz pitch. Thinner walls = louder tap + more fragile. 6-8mm is the sweet spot.</t>
  </si>
  <si>
    <t>4. LEAVE INSIDE UNGLAZED. Glaze dampens the interior reflections that give the Udu its rich overtones. Glaze exterior only for durability.</t>
  </si>
  <si>
    <t>5. SHRINKAGE MATTERS. A 12% shrinkage clay means your mold master must be 1/(1-0.12) = 1.136x oversize. CAD this into the 3D print.</t>
  </si>
  <si>
    <t>6. FOR A TUNED FAMILY (4 sizes): build all 4 molds from the same master, scaled parametrically in SolidWorks. One design table drives all sizes.</t>
  </si>
  <si>
    <t>7. THE WATER UDU is the most fascinating variant. Add water through the mouth; as you tilt, the water shifts = volume changes = pitch bends in real time. Like a liquid talking drum.</t>
  </si>
  <si>
    <t>8. ART FAIR PRICING: Small $60, Medium $85, Large $120, XL $150. A family of 4 displayed together = $415. Material cost ~$50 total = massive margin.</t>
  </si>
  <si>
    <t>9. ELECTRIC OPTION: Epoxy a piezo disc to the inside wall near the side hole. Amplified Udu sounds incredible through a bass amp or PA with reverb.</t>
  </si>
  <si>
    <t>10. CROSS-REFERENCE: Same Helmholtz formula as your Ocarina, Handpan Gu, Cajón, and Resonant Box sheets. The Udu is the purest application of this physics.</t>
  </si>
  <si>
    <t>11. UTAR BUILD: For the dual-chamber variant, throw or cast two pots of different sizes and join at the mouths with slip while leather-hard. The neck between them is the coupling port.</t>
  </si>
  <si>
    <t>12. CULTURAL NOTE: The Udu is sacred in Igbo tradition — the deep tones represent ancestral voices. Approach this instrument with respect for its origins.</t>
  </si>
  <si>
    <t>WOLFRAM CLOUD NOTEBOOK SPEC — UDU DRUM FAMILY</t>
  </si>
  <si>
    <t>Igbo (Nigeria) ceramic pot drum — DUAL Helmholtz (top hole + side hole) gives 2 distinct tones.</t>
  </si>
  <si>
    <t>§1 — Origin &amp; Etymology</t>
  </si>
  <si>
    <t>Origin: Igbo people of southeastern Nigeria. Traditionally water jar repurposed as drum by women (sacred-instrument lineage).</t>
  </si>
  <si>
    <t>Udu' Igbo for 'pot/vessel'. Cousins: kim kim (smaller), ibo drum, udongo (larger).</t>
  </si>
  <si>
    <t>Wolfram items: GeoGraphics Igboland (SE Nigeria); TimelinePlot[{ancient pot drums, 1965 Frank Giorgini popularization, modern artisan studios}].</t>
  </si>
  <si>
    <t>§2 — Physics</t>
  </si>
  <si>
    <t>Dual Helmholtz: top hole + side hole share the same chamber → two coupled Helmholtz modes.</t>
  </si>
  <si>
    <t>Top mode: f1 = (c/2π)·√(A_top/(V·L_top)). Side mode similar.</t>
  </si>
  <si>
    <t>Coupling: when both open, modes split; when side covered/uncovered by hand, pitch jumps audibly — playing technique exploits this for 'wet' pitch bends.</t>
  </si>
  <si>
    <t>Wolfram functions: 2-resonator Helmholtz coupled-mode analysis; Eigensystem for the 2×2 system.</t>
  </si>
  <si>
    <t>§3 — Geometry &amp; Materials</t>
  </si>
  <si>
    <t>4 sizes (S/M/L/XL) + 5 variants (Utar, Kim Kim, Claytone, Udongo, Water udu). Slip-cast porcelain or stoneware.</t>
  </si>
  <si>
    <t>Top hole ~30–60 mm; side hole ~20–40 mm. Volume varies by size.</t>
  </si>
  <si>
    <t>Wolfram items: Manipulate top_A, side_A, V → coupled-mode frequencies; ParametricPlot3D pot shape.</t>
  </si>
  <si>
    <t>§4 — Animations</t>
  </si>
  <si>
    <t>Hand-on-side-hole Animate: cover/uncover side → see pitch jump in real time.</t>
  </si>
  <si>
    <t>Coupled-mode visualizer: in-phase vs out-of-phase oscillation.</t>
  </si>
  <si>
    <t>§5 — Executable Cells</t>
  </si>
  <si>
    <t>fHelm[A_,V_,L_]:=(343/(2 π)) Sqrt[A/(V L)]</t>
  </si>
  <si>
    <t>coupledUdu[A1_,A2_,V_,L1_,L2_]:= Eigenvalues[ matrix ]^(1/2)</t>
  </si>
  <si>
    <t>uduSizes := {{small, V_S}, {medium, V_M}, {large, V_L}, {xl, V_XL}}</t>
  </si>
  <si>
    <t>§6 — Wolfram Functions</t>
  </si>
  <si>
    <t>Eigensystem, Manipulate, Animate, FindRoot, Periodogram, CloudDeploy, FormFunction.</t>
  </si>
  <si>
    <t>WOLFRAM EXPLORATIONS — UDU DRUM FAMILY</t>
  </si>
  <si>
    <t>Roadmap-inspired notebook ideas mapped to this instrument.</t>
  </si>
  <si>
    <t>Coupled Helmholtz</t>
  </si>
  <si>
    <t>→ Helmholtz Tuner + Coupled Oscillator (roadmap)</t>
  </si>
  <si>
    <t>DUAL Helmholtz: top hole + side hole share chamber. 2x2 eigenvalue analysis gives mode split as a function of A_top/A_side. Animate hand covering side-hole → mode collapse → pitch jump.</t>
  </si>
  <si>
    <t>5 variants compared (Utar, Kim Kim, Claytone, Udongo, Water): plot mode-split landscape; predict which variant has biggest 'wet' bend.</t>
  </si>
  <si>
    <t>Manufacturing</t>
  </si>
  <si>
    <t>→ Parametric → STL + Shrinkage Comp (roadmap)</t>
  </si>
  <si>
    <t>Pot shape parametric. Account for 12% slip-cast shrinkage in master STL. Vary pot proportions to hit target tuning.</t>
  </si>
  <si>
    <t>Cultural</t>
  </si>
  <si>
    <t>→ World Atlas (roadmap)</t>
  </si>
  <si>
    <t>Map Igboland + diaspora; phylogeny of pot drums (water jar instruments worldwide).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</si>
</sst>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9" x14ac:knownFonts="1">
    <font>
      <sz val="10"/>
      <color rgb="FF000000"/>
      <name val="Arial"/>
      <family val="2"/>
    </font>
    <font>
      <b/>
      <sz val="14"/>
      <color rgb="FF000000"/>
      <name val="Arial"/>
      <family val="2"/>
    </font>
    <font>
      <i/>
      <sz val="10"/>
      <color rgb="FF555555"/>
      <name val="Arial"/>
      <family val="2"/>
    </font>
    <font>
      <b/>
      <sz val="11"/>
      <color rgb="FFFFFFFF"/>
      <name val="Arial"/>
      <family val="2"/>
    </font>
    <font>
      <sz val="10"/>
      <color rgb="FF0000FF"/>
      <name val="Arial"/>
      <family val="2"/>
    </font>
    <font>
      <b/>
      <sz val="10"/>
      <color rgb="FF000000"/>
      <name val="Arial"/>
      <family val="2"/>
    </font>
    <font>
      <b/>
      <sz val="12"/>
      <color rgb="FF000000"/>
      <name val="Arial"/>
      <family val="2"/>
    </font>
    <font>
      <b/>
      <sz val="14"/>
      <color rgb="FFFFFFFF"/>
      <name val="Arial"/>
      <family val="2"/>
    </font>
    <font>
      <i/>
      <sz val="10"/>
      <color rgb="FF5C2D91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8B4513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BF8F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E2D0F0"/>
        <bgColor indexed="64"/>
      </patternFill>
    </fill>
    <fill>
      <patternFill patternType="solid">
        <fgColor rgb="FF555555"/>
        <bgColor indexed="64"/>
      </patternFill>
    </fill>
    <fill>
      <patternFill patternType="solid">
        <fgColor rgb="FF1F3A5F"/>
        <bgColor indexed="64"/>
      </patternFill>
    </fill>
    <fill>
      <patternFill patternType="solid">
        <fgColor rgb="FF5C2D91"/>
        <bgColor indexed="64"/>
      </patternFill>
    </fill>
    <fill>
      <patternFill patternType="solid">
        <fgColor rgb="FFE5D6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0" fillId="2" borderId="0" xfId="0" applyFill="1"/>
    <xf numFmtId="164" fontId="4" fillId="3" borderId="0" xfId="0" applyNumberFormat="1" applyFont="1" applyFill="1"/>
    <xf numFmtId="2" fontId="4" fillId="3" borderId="0" xfId="0" applyNumberFormat="1" applyFont="1" applyFill="1"/>
    <xf numFmtId="0" fontId="4" fillId="3" borderId="0" xfId="0" applyFont="1" applyFill="1"/>
    <xf numFmtId="9" fontId="4" fillId="3" borderId="0" xfId="0" applyNumberFormat="1" applyFont="1" applyFill="1"/>
    <xf numFmtId="3" fontId="0" fillId="0" borderId="0" xfId="0" applyNumberFormat="1"/>
    <xf numFmtId="0" fontId="3" fillId="4" borderId="0" xfId="0" applyFont="1" applyFill="1"/>
    <xf numFmtId="0" fontId="0" fillId="4" borderId="0" xfId="0" applyFill="1"/>
    <xf numFmtId="2" fontId="0" fillId="0" borderId="0" xfId="0" applyNumberFormat="1"/>
    <xf numFmtId="165" fontId="0" fillId="0" borderId="0" xfId="0" applyNumberFormat="1"/>
    <xf numFmtId="164" fontId="5" fillId="0" borderId="0" xfId="0" applyNumberFormat="1" applyFont="1"/>
    <xf numFmtId="0" fontId="6" fillId="0" borderId="0" xfId="0" applyFont="1"/>
    <xf numFmtId="164" fontId="0" fillId="0" borderId="0" xfId="0" applyNumberFormat="1"/>
    <xf numFmtId="0" fontId="3" fillId="5" borderId="0" xfId="0" applyFont="1" applyFill="1"/>
    <xf numFmtId="0" fontId="0" fillId="5" borderId="0" xfId="0" applyFill="1"/>
    <xf numFmtId="0" fontId="5" fillId="6" borderId="0" xfId="0" applyFont="1" applyFill="1"/>
    <xf numFmtId="0" fontId="3" fillId="7" borderId="0" xfId="0" applyFont="1" applyFill="1"/>
    <xf numFmtId="0" fontId="0" fillId="7" borderId="0" xfId="0" applyFill="1"/>
    <xf numFmtId="0" fontId="5" fillId="8" borderId="0" xfId="0" applyFont="1" applyFill="1"/>
    <xf numFmtId="0" fontId="3" fillId="9" borderId="0" xfId="0" applyFont="1" applyFill="1"/>
    <xf numFmtId="0" fontId="0" fillId="9" borderId="0" xfId="0" applyFill="1"/>
    <xf numFmtId="0" fontId="5" fillId="10" borderId="0" xfId="0" applyFont="1" applyFill="1"/>
    <xf numFmtId="0" fontId="3" fillId="11" borderId="0" xfId="0" applyFont="1" applyFill="1"/>
    <xf numFmtId="0" fontId="0" fillId="11" borderId="0" xfId="0" applyFill="1"/>
    <xf numFmtId="0" fontId="5" fillId="12" borderId="0" xfId="0" applyFont="1" applyFill="1"/>
    <xf numFmtId="0" fontId="5" fillId="0" borderId="0" xfId="0" applyFont="1"/>
    <xf numFmtId="0" fontId="3" fillId="13" borderId="0" xfId="0" applyFont="1" applyFill="1"/>
    <xf numFmtId="0" fontId="0" fillId="13" borderId="0" xfId="0" applyFill="1"/>
    <xf numFmtId="0" fontId="7" fillId="14" borderId="0" xfId="0" applyFont="1" applyFill="1" applyAlignment="1">
      <alignment horizontal="center"/>
    </xf>
    <xf numFmtId="0" fontId="5" fillId="3" borderId="0" xfId="0" applyFont="1" applyFill="1"/>
    <xf numFmtId="0" fontId="0" fillId="0" borderId="0" xfId="0" quotePrefix="1"/>
    <xf numFmtId="0" fontId="7" fillId="15" borderId="0" xfId="0" applyFont="1" applyFill="1" applyAlignment="1">
      <alignment horizontal="center"/>
    </xf>
    <xf numFmtId="0" fontId="5" fillId="16" borderId="0" xfId="0" applyFont="1" applyFill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2BF51-05BB-4DB2-AD49-20B20291C7CF}">
  <dimension ref="A1:H146"/>
  <sheetViews>
    <sheetView tabSelected="1" workbookViewId="0">
      <pane ySplit="3" topLeftCell="A80" activePane="bottomLeft" state="frozen"/>
      <selection pane="bottomLeft" activeCell="A132" sqref="A132:B132"/>
    </sheetView>
  </sheetViews>
  <sheetFormatPr defaultRowHeight="12.75" x14ac:dyDescent="0.2"/>
  <cols>
    <col min="1" max="1" width="30.28515625" customWidth="1"/>
    <col min="2" max="2" width="39.5703125" bestFit="1" customWidth="1"/>
    <col min="3" max="3" width="50" bestFit="1" customWidth="1"/>
    <col min="4" max="4" width="51" bestFit="1" customWidth="1"/>
    <col min="5" max="5" width="25.7109375" bestFit="1" customWidth="1"/>
    <col min="6" max="6" width="8.140625" bestFit="1" customWidth="1"/>
    <col min="7" max="7" width="11.5703125" bestFit="1" customWidth="1"/>
    <col min="8" max="8" width="35.42578125" bestFit="1" customWidth="1"/>
  </cols>
  <sheetData>
    <row r="1" spans="1:6" ht="18" x14ac:dyDescent="0.25">
      <c r="A1" s="1" t="s">
        <v>0</v>
      </c>
    </row>
    <row r="2" spans="1:6" x14ac:dyDescent="0.2">
      <c r="A2" s="2" t="s">
        <v>1</v>
      </c>
    </row>
    <row r="4" spans="1:6" ht="15" x14ac:dyDescent="0.25">
      <c r="A4" s="3" t="s">
        <v>2</v>
      </c>
      <c r="B4" s="4"/>
      <c r="C4" s="4"/>
      <c r="D4" s="4"/>
      <c r="E4" s="4"/>
      <c r="F4" s="4"/>
    </row>
    <row r="5" spans="1:6" x14ac:dyDescent="0.2">
      <c r="A5" t="s">
        <v>3</v>
      </c>
      <c r="B5" s="5">
        <v>10</v>
      </c>
      <c r="C5" t="s">
        <v>4</v>
      </c>
    </row>
    <row r="6" spans="1:6" x14ac:dyDescent="0.2">
      <c r="A6" t="s">
        <v>5</v>
      </c>
      <c r="B6" s="5">
        <v>12</v>
      </c>
    </row>
    <row r="7" spans="1:6" x14ac:dyDescent="0.2">
      <c r="A7" t="s">
        <v>6</v>
      </c>
      <c r="B7" s="6">
        <v>0.3</v>
      </c>
      <c r="C7" t="s">
        <v>7</v>
      </c>
    </row>
    <row r="8" spans="1:6" x14ac:dyDescent="0.2">
      <c r="A8" t="s">
        <v>8</v>
      </c>
      <c r="B8" s="5">
        <v>3</v>
      </c>
      <c r="C8" t="s">
        <v>9</v>
      </c>
    </row>
    <row r="9" spans="1:6" x14ac:dyDescent="0.2">
      <c r="A9" t="s">
        <v>10</v>
      </c>
      <c r="B9" s="5">
        <v>2</v>
      </c>
      <c r="C9" t="s">
        <v>11</v>
      </c>
    </row>
    <row r="10" spans="1:6" x14ac:dyDescent="0.2">
      <c r="A10" t="s">
        <v>12</v>
      </c>
      <c r="B10" s="6">
        <v>0.7</v>
      </c>
      <c r="C10" t="s">
        <v>13</v>
      </c>
    </row>
    <row r="11" spans="1:6" x14ac:dyDescent="0.2">
      <c r="A11" t="s">
        <v>14</v>
      </c>
      <c r="B11" s="7" t="s">
        <v>15</v>
      </c>
    </row>
    <row r="12" spans="1:6" x14ac:dyDescent="0.2">
      <c r="A12" t="s">
        <v>16</v>
      </c>
      <c r="B12" s="8">
        <v>0.12</v>
      </c>
      <c r="C12" t="s">
        <v>17</v>
      </c>
    </row>
    <row r="13" spans="1:6" x14ac:dyDescent="0.2">
      <c r="A13" t="s">
        <v>18</v>
      </c>
      <c r="B13" s="9">
        <v>13510</v>
      </c>
      <c r="C13" t="s">
        <v>19</v>
      </c>
    </row>
    <row r="15" spans="1:6" ht="15" x14ac:dyDescent="0.25">
      <c r="A15" s="10" t="s">
        <v>20</v>
      </c>
      <c r="B15" s="11"/>
      <c r="C15" s="11"/>
      <c r="D15" s="11"/>
      <c r="E15" s="11"/>
      <c r="F15" s="11"/>
    </row>
    <row r="16" spans="1:6" x14ac:dyDescent="0.2">
      <c r="A16" t="s">
        <v>21</v>
      </c>
      <c r="B16" s="9">
        <f>PI()/6*B5^2*B6*B10</f>
        <v>439.82297150257097</v>
      </c>
      <c r="C16" t="s">
        <v>22</v>
      </c>
    </row>
    <row r="17" spans="1:8" x14ac:dyDescent="0.2">
      <c r="A17" t="s">
        <v>23</v>
      </c>
      <c r="B17" s="12">
        <f>PI()*(B8/2)^2</f>
        <v>7.0685834705770345</v>
      </c>
    </row>
    <row r="18" spans="1:8" x14ac:dyDescent="0.2">
      <c r="A18" t="s">
        <v>24</v>
      </c>
      <c r="B18" s="13">
        <f>B7+0.6*SQRT(B17/PI())</f>
        <v>1.2</v>
      </c>
      <c r="C18" t="s">
        <v>25</v>
      </c>
    </row>
    <row r="19" spans="1:8" x14ac:dyDescent="0.2">
      <c r="A19" t="s">
        <v>26</v>
      </c>
      <c r="B19" s="14">
        <f>(B13/(2*PI()))*SQRT(B17/(B16*B18))</f>
        <v>248.8353624879345</v>
      </c>
    </row>
    <row r="20" spans="1:8" ht="15.75" x14ac:dyDescent="0.25">
      <c r="A20" t="s">
        <v>27</v>
      </c>
      <c r="B20" s="15" t="str">
        <f>CHOOSE(MOD(ROUND(12*LOG(B19/440,2)+69,0),12)+1,"C","C#","D","D#","E","F","F#","G","G#","A","A#","B")&amp;INT((ROUND(12*LOG(B19/440,2)+69,0))/12-1)</f>
        <v>B3</v>
      </c>
    </row>
    <row r="22" spans="1:8" x14ac:dyDescent="0.2">
      <c r="A22" t="s">
        <v>28</v>
      </c>
      <c r="B22" s="12">
        <f>PI()*(B9/2)^2</f>
        <v>3.1415926535897931</v>
      </c>
    </row>
    <row r="23" spans="1:8" x14ac:dyDescent="0.2">
      <c r="A23" t="s">
        <v>29</v>
      </c>
      <c r="B23" s="13">
        <f>B7+0.6*SQRT(B22/PI())</f>
        <v>0.89999999999999991</v>
      </c>
    </row>
    <row r="24" spans="1:8" x14ac:dyDescent="0.2">
      <c r="A24" t="s">
        <v>30</v>
      </c>
      <c r="B24" s="14">
        <f>(B13/(2*PI()))*SQRT(B22/(B16*B23))</f>
        <v>191.55355135507614</v>
      </c>
    </row>
    <row r="25" spans="1:8" ht="15.75" x14ac:dyDescent="0.25">
      <c r="A25" t="s">
        <v>31</v>
      </c>
      <c r="B25" s="15" t="str">
        <f>CHOOSE(MOD(ROUND(12*LOG(B24/440,2)+69,0),12)+1,"C","C#","D","D#","E","F","F#","G","G#","A","A#","B")&amp;INT((ROUND(12*LOG(B24/440,2)+69,0))/12-1)</f>
        <v>G3</v>
      </c>
    </row>
    <row r="27" spans="1:8" x14ac:dyDescent="0.2">
      <c r="A27" t="s">
        <v>32</v>
      </c>
      <c r="B27" s="16">
        <f>ROUND(12*LOG(B19/B24,2),1)</f>
        <v>4.5</v>
      </c>
      <c r="C27" t="s">
        <v>33</v>
      </c>
    </row>
    <row r="29" spans="1:8" ht="15" x14ac:dyDescent="0.25">
      <c r="A29" s="17" t="s">
        <v>34</v>
      </c>
      <c r="B29" s="18"/>
      <c r="C29" s="18"/>
      <c r="D29" s="18"/>
      <c r="E29" s="18"/>
      <c r="F29" s="18"/>
      <c r="G29" s="18"/>
      <c r="H29" s="18"/>
    </row>
    <row r="30" spans="1:8" x14ac:dyDescent="0.2">
      <c r="A30" s="19" t="s">
        <v>35</v>
      </c>
      <c r="B30" s="19" t="s">
        <v>36</v>
      </c>
      <c r="C30" s="19" t="s">
        <v>37</v>
      </c>
      <c r="D30" s="19" t="s">
        <v>38</v>
      </c>
      <c r="E30" s="19" t="s">
        <v>39</v>
      </c>
      <c r="F30" s="19" t="s">
        <v>40</v>
      </c>
      <c r="G30" s="19" t="s">
        <v>41</v>
      </c>
      <c r="H30" s="19" t="s">
        <v>42</v>
      </c>
    </row>
    <row r="31" spans="1:8" x14ac:dyDescent="0.2">
      <c r="A31" t="s">
        <v>43</v>
      </c>
      <c r="B31">
        <v>8</v>
      </c>
      <c r="C31">
        <v>10</v>
      </c>
      <c r="D31" s="9">
        <v>235</v>
      </c>
      <c r="E31" t="s">
        <v>44</v>
      </c>
      <c r="F31" t="s">
        <v>45</v>
      </c>
      <c r="G31" t="s">
        <v>46</v>
      </c>
      <c r="H31" t="s">
        <v>47</v>
      </c>
    </row>
    <row r="32" spans="1:8" x14ac:dyDescent="0.2">
      <c r="A32" t="s">
        <v>48</v>
      </c>
      <c r="B32">
        <v>10</v>
      </c>
      <c r="C32">
        <v>12</v>
      </c>
      <c r="D32" s="9">
        <v>440</v>
      </c>
      <c r="E32" t="s">
        <v>49</v>
      </c>
      <c r="F32" t="s">
        <v>50</v>
      </c>
      <c r="G32" t="s">
        <v>51</v>
      </c>
      <c r="H32" t="s">
        <v>52</v>
      </c>
    </row>
    <row r="33" spans="1:8" x14ac:dyDescent="0.2">
      <c r="A33" t="s">
        <v>53</v>
      </c>
      <c r="B33">
        <v>12</v>
      </c>
      <c r="C33">
        <v>14</v>
      </c>
      <c r="D33" s="9">
        <v>739</v>
      </c>
      <c r="E33" t="s">
        <v>54</v>
      </c>
      <c r="F33" t="s">
        <v>55</v>
      </c>
      <c r="G33" t="s">
        <v>56</v>
      </c>
      <c r="H33" t="s">
        <v>57</v>
      </c>
    </row>
    <row r="34" spans="1:8" x14ac:dyDescent="0.2">
      <c r="A34" t="s">
        <v>58</v>
      </c>
      <c r="B34">
        <v>14</v>
      </c>
      <c r="C34">
        <v>16</v>
      </c>
      <c r="D34" s="9">
        <v>1149</v>
      </c>
      <c r="E34" t="s">
        <v>59</v>
      </c>
      <c r="F34" t="s">
        <v>60</v>
      </c>
      <c r="G34" t="s">
        <v>61</v>
      </c>
      <c r="H34" t="s">
        <v>62</v>
      </c>
    </row>
    <row r="36" spans="1:8" x14ac:dyDescent="0.2">
      <c r="A36" s="19" t="s">
        <v>63</v>
      </c>
    </row>
    <row r="37" spans="1:8" x14ac:dyDescent="0.2">
      <c r="A37" t="s">
        <v>64</v>
      </c>
      <c r="B37" t="s">
        <v>65</v>
      </c>
      <c r="C37" t="s">
        <v>66</v>
      </c>
      <c r="D37" t="s">
        <v>67</v>
      </c>
      <c r="E37" t="s">
        <v>68</v>
      </c>
    </row>
    <row r="38" spans="1:8" x14ac:dyDescent="0.2">
      <c r="A38" t="s">
        <v>69</v>
      </c>
      <c r="B38" t="s">
        <v>70</v>
      </c>
      <c r="C38" t="s">
        <v>71</v>
      </c>
      <c r="D38" t="s">
        <v>72</v>
      </c>
      <c r="E38" t="s">
        <v>73</v>
      </c>
    </row>
    <row r="39" spans="1:8" x14ac:dyDescent="0.2">
      <c r="A39" t="s">
        <v>74</v>
      </c>
      <c r="B39" t="s">
        <v>75</v>
      </c>
      <c r="C39" t="s">
        <v>76</v>
      </c>
      <c r="D39" t="s">
        <v>77</v>
      </c>
      <c r="E39" t="s">
        <v>78</v>
      </c>
    </row>
    <row r="40" spans="1:8" x14ac:dyDescent="0.2">
      <c r="A40" t="s">
        <v>79</v>
      </c>
      <c r="B40" t="s">
        <v>80</v>
      </c>
      <c r="C40" t="s">
        <v>81</v>
      </c>
      <c r="D40" t="s">
        <v>82</v>
      </c>
      <c r="E40" t="s">
        <v>83</v>
      </c>
    </row>
    <row r="41" spans="1:8" x14ac:dyDescent="0.2">
      <c r="A41" t="s">
        <v>84</v>
      </c>
      <c r="B41" t="s">
        <v>85</v>
      </c>
      <c r="C41" t="s">
        <v>86</v>
      </c>
      <c r="D41" t="s">
        <v>87</v>
      </c>
      <c r="E41" t="s">
        <v>88</v>
      </c>
    </row>
    <row r="43" spans="1:8" ht="15" x14ac:dyDescent="0.25">
      <c r="A43" s="20" t="s">
        <v>89</v>
      </c>
      <c r="B43" s="21"/>
      <c r="C43" s="21"/>
      <c r="D43" s="21"/>
      <c r="E43" s="21"/>
      <c r="F43" s="21"/>
    </row>
    <row r="44" spans="1:8" x14ac:dyDescent="0.2">
      <c r="A44" s="22" t="s">
        <v>90</v>
      </c>
      <c r="B44" s="22" t="s">
        <v>91</v>
      </c>
      <c r="C44" s="22" t="s">
        <v>92</v>
      </c>
      <c r="D44" s="22" t="s">
        <v>93</v>
      </c>
      <c r="E44" s="22" t="s">
        <v>94</v>
      </c>
    </row>
    <row r="45" spans="1:8" x14ac:dyDescent="0.2">
      <c r="A45" t="s">
        <v>95</v>
      </c>
      <c r="B45" t="s">
        <v>96</v>
      </c>
      <c r="C45" t="s">
        <v>97</v>
      </c>
      <c r="D45" t="s">
        <v>98</v>
      </c>
      <c r="E45" t="s">
        <v>99</v>
      </c>
    </row>
    <row r="46" spans="1:8" x14ac:dyDescent="0.2">
      <c r="A46" t="s">
        <v>100</v>
      </c>
      <c r="B46" t="s">
        <v>101</v>
      </c>
      <c r="C46" t="s">
        <v>102</v>
      </c>
      <c r="D46" t="s">
        <v>103</v>
      </c>
      <c r="E46" t="s">
        <v>104</v>
      </c>
    </row>
    <row r="47" spans="1:8" x14ac:dyDescent="0.2">
      <c r="A47" t="s">
        <v>105</v>
      </c>
      <c r="B47" t="s">
        <v>106</v>
      </c>
      <c r="C47" t="s">
        <v>107</v>
      </c>
      <c r="D47" t="s">
        <v>108</v>
      </c>
      <c r="E47" t="s">
        <v>109</v>
      </c>
    </row>
    <row r="48" spans="1:8" x14ac:dyDescent="0.2">
      <c r="A48" t="s">
        <v>110</v>
      </c>
      <c r="B48" t="s">
        <v>111</v>
      </c>
      <c r="C48" t="s">
        <v>112</v>
      </c>
      <c r="D48" t="s">
        <v>113</v>
      </c>
      <c r="E48" t="s">
        <v>114</v>
      </c>
    </row>
    <row r="49" spans="1:6" x14ac:dyDescent="0.2">
      <c r="A49" t="s">
        <v>115</v>
      </c>
      <c r="B49" t="s">
        <v>116</v>
      </c>
      <c r="C49" t="s">
        <v>117</v>
      </c>
      <c r="D49" t="s">
        <v>118</v>
      </c>
      <c r="E49" t="s">
        <v>119</v>
      </c>
    </row>
    <row r="51" spans="1:6" ht="15" x14ac:dyDescent="0.25">
      <c r="A51" s="23" t="s">
        <v>120</v>
      </c>
      <c r="B51" s="24"/>
      <c r="C51" s="24"/>
      <c r="D51" s="24"/>
      <c r="E51" s="24"/>
      <c r="F51" s="24"/>
    </row>
    <row r="52" spans="1:6" x14ac:dyDescent="0.2">
      <c r="A52" s="25" t="s">
        <v>121</v>
      </c>
      <c r="B52" s="25" t="s">
        <v>122</v>
      </c>
      <c r="C52" s="25" t="s">
        <v>123</v>
      </c>
      <c r="D52" s="25" t="s">
        <v>124</v>
      </c>
      <c r="E52" s="25" t="s">
        <v>125</v>
      </c>
    </row>
    <row r="53" spans="1:6" x14ac:dyDescent="0.2">
      <c r="A53" t="s">
        <v>126</v>
      </c>
      <c r="B53" t="s">
        <v>127</v>
      </c>
      <c r="C53" t="s">
        <v>128</v>
      </c>
      <c r="D53" t="s">
        <v>129</v>
      </c>
      <c r="E53" t="s">
        <v>130</v>
      </c>
    </row>
    <row r="54" spans="1:6" x14ac:dyDescent="0.2">
      <c r="A54" t="s">
        <v>131</v>
      </c>
      <c r="B54" t="s">
        <v>132</v>
      </c>
      <c r="C54" t="s">
        <v>133</v>
      </c>
      <c r="D54" t="s">
        <v>134</v>
      </c>
      <c r="E54" t="s">
        <v>135</v>
      </c>
    </row>
    <row r="55" spans="1:6" x14ac:dyDescent="0.2">
      <c r="A55" t="s">
        <v>136</v>
      </c>
      <c r="B55" t="s">
        <v>137</v>
      </c>
      <c r="C55" t="s">
        <v>138</v>
      </c>
      <c r="D55" t="s">
        <v>139</v>
      </c>
      <c r="E55" t="s">
        <v>140</v>
      </c>
    </row>
    <row r="56" spans="1:6" x14ac:dyDescent="0.2">
      <c r="A56" t="s">
        <v>141</v>
      </c>
      <c r="B56" t="s">
        <v>142</v>
      </c>
      <c r="C56" t="s">
        <v>143</v>
      </c>
      <c r="D56" t="s">
        <v>144</v>
      </c>
      <c r="E56" t="s">
        <v>145</v>
      </c>
    </row>
    <row r="58" spans="1:6" x14ac:dyDescent="0.2">
      <c r="A58" s="25" t="s">
        <v>146</v>
      </c>
    </row>
    <row r="59" spans="1:6" x14ac:dyDescent="0.2">
      <c r="A59" t="s">
        <v>147</v>
      </c>
    </row>
    <row r="60" spans="1:6" x14ac:dyDescent="0.2">
      <c r="A60" t="s">
        <v>148</v>
      </c>
    </row>
    <row r="61" spans="1:6" x14ac:dyDescent="0.2">
      <c r="A61" t="s">
        <v>149</v>
      </c>
    </row>
    <row r="62" spans="1:6" x14ac:dyDescent="0.2">
      <c r="A62" t="s">
        <v>150</v>
      </c>
    </row>
    <row r="63" spans="1:6" x14ac:dyDescent="0.2">
      <c r="A63" t="s">
        <v>151</v>
      </c>
    </row>
    <row r="64" spans="1:6" x14ac:dyDescent="0.2">
      <c r="A64" t="s">
        <v>152</v>
      </c>
    </row>
    <row r="65" spans="1:5" x14ac:dyDescent="0.2">
      <c r="A65" t="s">
        <v>153</v>
      </c>
    </row>
    <row r="66" spans="1:5" x14ac:dyDescent="0.2">
      <c r="A66" t="s">
        <v>154</v>
      </c>
    </row>
    <row r="67" spans="1:5" x14ac:dyDescent="0.2">
      <c r="A67" t="s">
        <v>155</v>
      </c>
    </row>
    <row r="68" spans="1:5" x14ac:dyDescent="0.2">
      <c r="A68" t="s">
        <v>156</v>
      </c>
    </row>
    <row r="69" spans="1:5" x14ac:dyDescent="0.2">
      <c r="A69" t="s">
        <v>157</v>
      </c>
    </row>
    <row r="70" spans="1:5" x14ac:dyDescent="0.2">
      <c r="A70" t="s">
        <v>158</v>
      </c>
    </row>
    <row r="72" spans="1:5" ht="15" x14ac:dyDescent="0.25">
      <c r="A72" s="26" t="s">
        <v>159</v>
      </c>
      <c r="B72" s="27"/>
      <c r="C72" s="27"/>
      <c r="D72" s="27"/>
      <c r="E72" s="27"/>
    </row>
    <row r="73" spans="1:5" x14ac:dyDescent="0.2">
      <c r="A73" s="28" t="s">
        <v>121</v>
      </c>
      <c r="B73" s="28" t="s">
        <v>160</v>
      </c>
      <c r="C73" s="28" t="s">
        <v>161</v>
      </c>
      <c r="D73" s="28" t="s">
        <v>162</v>
      </c>
      <c r="E73" s="28" t="s">
        <v>163</v>
      </c>
    </row>
    <row r="74" spans="1:5" x14ac:dyDescent="0.2">
      <c r="A74">
        <v>1</v>
      </c>
      <c r="B74" t="s">
        <v>164</v>
      </c>
      <c r="C74" t="s">
        <v>165</v>
      </c>
      <c r="D74" t="s">
        <v>166</v>
      </c>
      <c r="E74" s="7" t="s">
        <v>167</v>
      </c>
    </row>
    <row r="75" spans="1:5" x14ac:dyDescent="0.2">
      <c r="A75">
        <v>2</v>
      </c>
      <c r="B75" t="s">
        <v>168</v>
      </c>
      <c r="C75" t="s">
        <v>169</v>
      </c>
      <c r="D75" t="s">
        <v>170</v>
      </c>
      <c r="E75" t="s">
        <v>171</v>
      </c>
    </row>
    <row r="76" spans="1:5" x14ac:dyDescent="0.2">
      <c r="A76">
        <v>3</v>
      </c>
      <c r="B76" t="s">
        <v>172</v>
      </c>
      <c r="C76" t="s">
        <v>173</v>
      </c>
      <c r="D76" t="s">
        <v>174</v>
      </c>
      <c r="E76" t="s">
        <v>175</v>
      </c>
    </row>
    <row r="77" spans="1:5" x14ac:dyDescent="0.2">
      <c r="A77">
        <v>4</v>
      </c>
      <c r="B77" t="s">
        <v>176</v>
      </c>
      <c r="C77" t="s">
        <v>177</v>
      </c>
      <c r="D77" t="s">
        <v>178</v>
      </c>
      <c r="E77" t="s">
        <v>179</v>
      </c>
    </row>
    <row r="78" spans="1:5" x14ac:dyDescent="0.2">
      <c r="A78">
        <v>5</v>
      </c>
      <c r="B78" t="s">
        <v>180</v>
      </c>
      <c r="C78" t="s">
        <v>181</v>
      </c>
      <c r="D78" t="s">
        <v>182</v>
      </c>
      <c r="E78" t="s">
        <v>183</v>
      </c>
    </row>
    <row r="79" spans="1:5" x14ac:dyDescent="0.2">
      <c r="A79">
        <v>6</v>
      </c>
      <c r="B79" t="s">
        <v>184</v>
      </c>
      <c r="C79" t="s">
        <v>185</v>
      </c>
      <c r="D79" t="s">
        <v>186</v>
      </c>
      <c r="E79" t="s">
        <v>187</v>
      </c>
    </row>
    <row r="80" spans="1:5" x14ac:dyDescent="0.2">
      <c r="A80">
        <v>7</v>
      </c>
      <c r="B80" t="s">
        <v>188</v>
      </c>
      <c r="C80" t="s">
        <v>189</v>
      </c>
      <c r="D80" t="s">
        <v>190</v>
      </c>
      <c r="E80" t="s">
        <v>183</v>
      </c>
    </row>
    <row r="81" spans="1:5" x14ac:dyDescent="0.2">
      <c r="A81">
        <v>8</v>
      </c>
      <c r="B81" t="s">
        <v>191</v>
      </c>
      <c r="C81" t="s">
        <v>181</v>
      </c>
      <c r="D81" t="s">
        <v>192</v>
      </c>
      <c r="E81" t="s">
        <v>193</v>
      </c>
    </row>
    <row r="82" spans="1:5" x14ac:dyDescent="0.2">
      <c r="A82">
        <v>9</v>
      </c>
      <c r="B82" t="s">
        <v>194</v>
      </c>
      <c r="C82">
        <v>1</v>
      </c>
      <c r="D82" t="s">
        <v>195</v>
      </c>
      <c r="E82" t="s">
        <v>196</v>
      </c>
    </row>
    <row r="83" spans="1:5" x14ac:dyDescent="0.2">
      <c r="B83" s="29" t="s">
        <v>197</v>
      </c>
      <c r="E83" s="29" t="s">
        <v>198</v>
      </c>
    </row>
    <row r="84" spans="1:5" x14ac:dyDescent="0.2">
      <c r="B84" s="29" t="s">
        <v>199</v>
      </c>
      <c r="C84" t="s">
        <v>200</v>
      </c>
      <c r="E84" s="29" t="s">
        <v>201</v>
      </c>
    </row>
    <row r="86" spans="1:5" ht="15" x14ac:dyDescent="0.25">
      <c r="A86" s="30" t="s">
        <v>202</v>
      </c>
      <c r="B86" s="31"/>
      <c r="C86" s="31"/>
      <c r="D86" s="31"/>
      <c r="E86" s="31"/>
    </row>
    <row r="87" spans="1:5" x14ac:dyDescent="0.2">
      <c r="A87" t="s">
        <v>203</v>
      </c>
    </row>
    <row r="88" spans="1:5" x14ac:dyDescent="0.2">
      <c r="A88" t="s">
        <v>204</v>
      </c>
    </row>
    <row r="89" spans="1:5" x14ac:dyDescent="0.2">
      <c r="A89" t="s">
        <v>205</v>
      </c>
    </row>
    <row r="90" spans="1:5" x14ac:dyDescent="0.2">
      <c r="A90" t="s">
        <v>206</v>
      </c>
    </row>
    <row r="91" spans="1:5" x14ac:dyDescent="0.2">
      <c r="A91" t="s">
        <v>207</v>
      </c>
    </row>
    <row r="92" spans="1:5" x14ac:dyDescent="0.2">
      <c r="A92" t="s">
        <v>208</v>
      </c>
    </row>
    <row r="93" spans="1:5" x14ac:dyDescent="0.2">
      <c r="A93" t="s">
        <v>209</v>
      </c>
    </row>
    <row r="94" spans="1:5" x14ac:dyDescent="0.2">
      <c r="A94" t="s">
        <v>210</v>
      </c>
    </row>
    <row r="95" spans="1:5" x14ac:dyDescent="0.2">
      <c r="A95" t="s">
        <v>211</v>
      </c>
    </row>
    <row r="96" spans="1:5" x14ac:dyDescent="0.2">
      <c r="A96" t="s">
        <v>212</v>
      </c>
    </row>
    <row r="97" spans="1:2" x14ac:dyDescent="0.2">
      <c r="A97" t="s">
        <v>213</v>
      </c>
    </row>
    <row r="98" spans="1:2" x14ac:dyDescent="0.2">
      <c r="A98" t="s">
        <v>214</v>
      </c>
    </row>
    <row r="101" spans="1:2" ht="18" x14ac:dyDescent="0.25">
      <c r="A101" s="32" t="s">
        <v>215</v>
      </c>
      <c r="B101" s="32"/>
    </row>
    <row r="102" spans="1:2" x14ac:dyDescent="0.2">
      <c r="A102" s="2" t="s">
        <v>216</v>
      </c>
    </row>
    <row r="104" spans="1:2" x14ac:dyDescent="0.2">
      <c r="A104" s="33" t="s">
        <v>217</v>
      </c>
    </row>
    <row r="105" spans="1:2" x14ac:dyDescent="0.2">
      <c r="A105" t="s">
        <v>218</v>
      </c>
    </row>
    <row r="106" spans="1:2" x14ac:dyDescent="0.2">
      <c r="A106" s="34" t="s">
        <v>219</v>
      </c>
    </row>
    <row r="107" spans="1:2" x14ac:dyDescent="0.2">
      <c r="A107" t="s">
        <v>220</v>
      </c>
    </row>
    <row r="109" spans="1:2" x14ac:dyDescent="0.2">
      <c r="A109" s="33" t="s">
        <v>221</v>
      </c>
    </row>
    <row r="110" spans="1:2" x14ac:dyDescent="0.2">
      <c r="A110" t="s">
        <v>222</v>
      </c>
    </row>
    <row r="111" spans="1:2" x14ac:dyDescent="0.2">
      <c r="A111" t="s">
        <v>223</v>
      </c>
    </row>
    <row r="112" spans="1:2" x14ac:dyDescent="0.2">
      <c r="A112" t="s">
        <v>224</v>
      </c>
    </row>
    <row r="113" spans="1:1" x14ac:dyDescent="0.2">
      <c r="A113" t="s">
        <v>225</v>
      </c>
    </row>
    <row r="115" spans="1:1" x14ac:dyDescent="0.2">
      <c r="A115" s="33" t="s">
        <v>226</v>
      </c>
    </row>
    <row r="116" spans="1:1" x14ac:dyDescent="0.2">
      <c r="A116" t="s">
        <v>227</v>
      </c>
    </row>
    <row r="117" spans="1:1" x14ac:dyDescent="0.2">
      <c r="A117" t="s">
        <v>228</v>
      </c>
    </row>
    <row r="118" spans="1:1" x14ac:dyDescent="0.2">
      <c r="A118" t="s">
        <v>229</v>
      </c>
    </row>
    <row r="120" spans="1:1" x14ac:dyDescent="0.2">
      <c r="A120" s="33" t="s">
        <v>230</v>
      </c>
    </row>
    <row r="121" spans="1:1" x14ac:dyDescent="0.2">
      <c r="A121" t="s">
        <v>231</v>
      </c>
    </row>
    <row r="122" spans="1:1" x14ac:dyDescent="0.2">
      <c r="A122" t="s">
        <v>232</v>
      </c>
    </row>
    <row r="124" spans="1:1" x14ac:dyDescent="0.2">
      <c r="A124" s="33" t="s">
        <v>233</v>
      </c>
    </row>
    <row r="125" spans="1:1" x14ac:dyDescent="0.2">
      <c r="A125" t="s">
        <v>234</v>
      </c>
    </row>
    <row r="126" spans="1:1" x14ac:dyDescent="0.2">
      <c r="A126" t="s">
        <v>235</v>
      </c>
    </row>
    <row r="127" spans="1:1" x14ac:dyDescent="0.2">
      <c r="A127" t="s">
        <v>236</v>
      </c>
    </row>
    <row r="129" spans="1:2" x14ac:dyDescent="0.2">
      <c r="A129" s="33" t="s">
        <v>237</v>
      </c>
    </row>
    <row r="130" spans="1:2" x14ac:dyDescent="0.2">
      <c r="A130" t="s">
        <v>238</v>
      </c>
    </row>
    <row r="132" spans="1:2" ht="18" x14ac:dyDescent="0.25">
      <c r="A132" s="35" t="s">
        <v>239</v>
      </c>
      <c r="B132" s="35"/>
    </row>
    <row r="133" spans="1:2" x14ac:dyDescent="0.2">
      <c r="A133" s="2" t="s">
        <v>240</v>
      </c>
    </row>
    <row r="135" spans="1:2" x14ac:dyDescent="0.2">
      <c r="A135" s="36" t="s">
        <v>241</v>
      </c>
    </row>
    <row r="136" spans="1:2" x14ac:dyDescent="0.2">
      <c r="A136" s="37" t="s">
        <v>242</v>
      </c>
    </row>
    <row r="137" spans="1:2" x14ac:dyDescent="0.2">
      <c r="A137" t="s">
        <v>243</v>
      </c>
    </row>
    <row r="138" spans="1:2" x14ac:dyDescent="0.2">
      <c r="A138" t="s">
        <v>244</v>
      </c>
    </row>
    <row r="140" spans="1:2" x14ac:dyDescent="0.2">
      <c r="A140" s="36" t="s">
        <v>245</v>
      </c>
    </row>
    <row r="141" spans="1:2" x14ac:dyDescent="0.2">
      <c r="A141" s="37" t="s">
        <v>246</v>
      </c>
    </row>
    <row r="142" spans="1:2" x14ac:dyDescent="0.2">
      <c r="A142" t="s">
        <v>247</v>
      </c>
    </row>
    <row r="144" spans="1:2" x14ac:dyDescent="0.2">
      <c r="A144" s="36" t="s">
        <v>248</v>
      </c>
    </row>
    <row r="145" spans="1:1" x14ac:dyDescent="0.2">
      <c r="A145" s="37" t="s">
        <v>249</v>
      </c>
    </row>
    <row r="146" spans="1:1" x14ac:dyDescent="0.2">
      <c r="A146" t="s">
        <v>250</v>
      </c>
    </row>
  </sheetData>
  <mergeCells count="2">
    <mergeCell ref="A101:B101"/>
    <mergeCell ref="A132:B1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Udu Drum Family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 Koop</dc:creator>
  <cp:lastModifiedBy>Tony Koop</cp:lastModifiedBy>
  <dcterms:created xsi:type="dcterms:W3CDTF">2026-05-02T09:01:12Z</dcterms:created>
  <dcterms:modified xsi:type="dcterms:W3CDTF">2026-05-02T09:01:41Z</dcterms:modified>
</cp:coreProperties>
</file>