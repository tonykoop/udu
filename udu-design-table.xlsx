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41" autoFilterDateGrouping="1"/>
  </bookViews>
  <sheets>
    <sheet xmlns:r="http://schemas.openxmlformats.org/officeDocument/2006/relationships" name="Udu Drum Famil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2">
    <numFmt numFmtId="164" formatCode="0.0"/>
    <numFmt numFmtId="165" formatCode="0.000"/>
    <numFmt numFmtId="166" formatCode="#,##0.000"/>
    <numFmt numFmtId="167" formatCode="0.0000"/>
    <numFmt numFmtId="168" formatCode="&quot;$&quot;#,##0.00"/>
    <numFmt numFmtId="169" formatCode="m/d"/>
    <numFmt numFmtId="170" formatCode="m/d/yy"/>
    <numFmt numFmtId="171" formatCode="#\ ##/##"/>
    <numFmt numFmtId="172" formatCode="#\ ###/###"/>
    <numFmt numFmtId="173" formatCode="0.000000"/>
    <numFmt numFmtId="174" formatCode="\+0.000;\-0.000;0.000"/>
    <numFmt numFmtId="175" formatCode="\+0.0%;\-0.0%;0.0%"/>
    <numFmt numFmtId="176" formatCode="\+0.0;\-0.0;&quot;0.0&quot;"/>
    <numFmt numFmtId="177" formatCode="\+0.00;\-0.00;&quot;0.00&quot;"/>
    <numFmt numFmtId="178" formatCode="0.00000"/>
    <numFmt numFmtId="179" formatCode="0.0%"/>
    <numFmt numFmtId="180" formatCode="#,##0.0"/>
    <numFmt numFmtId="181" formatCode="0.0&quot;%&quot;"/>
    <numFmt numFmtId="182" formatCode="0.0&quot;°&quot;"/>
    <numFmt numFmtId="183" formatCode="0.00&quot;°&quot;"/>
    <numFmt numFmtId="184" formatCode="0.000&quot;&quot;"/>
    <numFmt numFmtId="185" formatCode="0.0&quot;&quot;"/>
  </numFmts>
  <fonts count="90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1155CC"/>
      <sz val="10"/>
      <u val="single"/>
    </font>
    <font>
      <name val="Arial"/>
      <color rgb="FF0000FF"/>
      <sz val="10"/>
      <u val="single"/>
    </font>
    <font>
      <name val="Arial"/>
      <b val="1"/>
      <sz val="10"/>
    </font>
    <font>
      <name val="Inconsolata"/>
      <sz val="10"/>
    </font>
    <font>
      <name val="Arial"/>
      <b val="1"/>
      <color rgb="FFFFFFFF"/>
      <sz val="10"/>
    </font>
    <font>
      <name val="Arial"/>
      <color rgb="FFFFFFFF"/>
      <sz val="10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color rgb="FFC0C0C0"/>
      <sz val="10"/>
    </font>
    <font>
      <name val="Arial"/>
      <i val="1"/>
      <color rgb="FFC0C0C0"/>
      <sz val="10"/>
    </font>
    <font>
      <name val="Arial"/>
      <color rgb="FF969696"/>
      <sz val="10"/>
    </font>
    <font>
      <name val="Arial"/>
      <b val="1"/>
      <color rgb="FF969696"/>
      <sz val="10"/>
    </font>
    <font>
      <name val="Arial"/>
      <b val="1"/>
      <color rgb="FF993366"/>
      <sz val="10"/>
    </font>
    <font>
      <name val="Arial"/>
      <color rgb="FF993366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FF"/>
      <sz val="10"/>
    </font>
    <font>
      <name val="Arial"/>
      <color rgb="FF666666"/>
      <sz val="10"/>
    </font>
    <font>
      <name val="Arial"/>
      <i val="1"/>
      <color rgb="FF666666"/>
      <sz val="10"/>
    </font>
    <font>
      <name val="Arial"/>
      <b val="1"/>
      <color rgb="FFFFFFFF"/>
      <sz val="12"/>
    </font>
    <font>
      <name val="Arial"/>
      <b val="1"/>
      <color rgb="FF000000"/>
      <sz val="11"/>
    </font>
    <font>
      <name val="Arial"/>
      <i val="1"/>
      <color rgb="FF666666"/>
      <sz val="9"/>
    </font>
    <font>
      <name val="Arial"/>
      <color rgb="FF006400"/>
      <sz val="10"/>
    </font>
    <font>
      <name val="Arial"/>
      <b val="1"/>
      <color rgb="FF006400"/>
      <sz val="10"/>
    </font>
    <font>
      <name val="Arial"/>
      <color rgb="FFCC0000"/>
      <sz val="10"/>
    </font>
    <font>
      <name val="Arial"/>
      <color rgb="FF333333"/>
      <sz val="9"/>
    </font>
    <font>
      <name val="Arial"/>
      <b val="1"/>
      <color rgb="FF1F4E79"/>
      <sz val="14"/>
    </font>
    <font>
      <name val="Arial"/>
      <color rgb="FF1F4E79"/>
      <sz val="10"/>
    </font>
    <font>
      <name val="Arial"/>
      <b val="1"/>
      <color rgb="FF1F4E79"/>
      <sz val="12"/>
    </font>
    <font>
      <name val="Arial"/>
      <b val="1"/>
      <color rgb="FF1F4E79"/>
      <sz val="10"/>
    </font>
    <font>
      <name val="Arial"/>
      <b val="1"/>
      <color rgb="FF000000"/>
      <sz val="12"/>
    </font>
    <font>
      <name val="Arial"/>
      <b val="1"/>
      <i val="1"/>
      <color rgb="FF666666"/>
      <sz val="10"/>
    </font>
    <font>
      <name val="Arial"/>
      <color rgb="FF999999"/>
      <sz val="10"/>
    </font>
    <font>
      <name val="Arial"/>
      <i val="1"/>
      <color rgb="FF999999"/>
      <sz val="9"/>
    </font>
    <font>
      <name val="Arial"/>
      <color rgb="FF2E75B6"/>
      <sz val="10"/>
    </font>
    <font>
      <name val="Arial"/>
      <b val="1"/>
      <color rgb="FF2E75B6"/>
      <sz val="10"/>
    </font>
    <font>
      <name val="Arial"/>
      <color rgb="FF5B9BD5"/>
      <sz val="10"/>
    </font>
    <font>
      <name val="Arial"/>
      <b val="1"/>
      <color rgb="FF5B9BD5"/>
      <sz val="10"/>
    </font>
    <font>
      <name val="Arial"/>
      <color rgb="FF9DC3E6"/>
      <sz val="10"/>
    </font>
    <font>
      <name val="Arial"/>
      <b val="1"/>
      <color rgb="FF9DC3E6"/>
      <sz val="10"/>
    </font>
    <font>
      <name val="Arial"/>
      <b val="1"/>
      <i val="1"/>
      <color rgb="FF1F4E79"/>
      <sz val="9"/>
    </font>
    <font>
      <name val="Arial"/>
      <i val="1"/>
      <color rgb="FF000000"/>
      <sz val="10"/>
    </font>
    <font>
      <name val="Arial"/>
      <color rgb="FF000000"/>
      <sz val="9"/>
    </font>
    <font>
      <name val="Arial"/>
      <b val="1"/>
      <color rgb="FFCC4125"/>
      <sz val="10"/>
    </font>
    <font>
      <name val="Arial"/>
      <b val="1"/>
      <i val="1"/>
      <color rgb="FF999999"/>
      <sz val="9"/>
    </font>
    <font>
      <name val="Arial"/>
      <b val="1"/>
      <color rgb="FF990000"/>
      <sz val="10"/>
    </font>
    <font>
      <name val="Arial"/>
      <b val="1"/>
      <color rgb="FF000000"/>
      <sz val="9"/>
    </font>
    <font>
      <name val="Arial"/>
      <b val="1"/>
      <color rgb="FFCC0000"/>
      <sz val="10"/>
    </font>
    <font>
      <name val="Arial"/>
      <i val="1"/>
      <color rgb="FF999999"/>
      <sz val="10"/>
    </font>
    <font>
      <name val="Arial"/>
      <color rgb="FF0000CC"/>
      <sz val="10"/>
    </font>
    <font>
      <name val="Arial"/>
      <b val="1"/>
      <color rgb="FF0000CC"/>
      <sz val="10"/>
    </font>
    <font>
      <name val="Arial"/>
      <i val="1"/>
      <color rgb="FF0000FF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b val="1"/>
      <color rgb="FF999999"/>
      <sz val="9"/>
    </font>
    <font>
      <name val="Arial"/>
      <b val="1"/>
      <color rgb="FFCC0000"/>
      <sz val="9"/>
    </font>
    <font>
      <name val="Arial"/>
      <color rgb="FFCC0000"/>
      <sz val="9"/>
    </font>
    <font>
      <name val="Arial"/>
      <b val="1"/>
      <i val="1"/>
      <color rgb="FF666666"/>
      <sz val="9"/>
    </font>
    <font>
      <name val="Arial"/>
      <b val="1"/>
      <color rgb="FF000000"/>
      <sz val="16"/>
    </font>
    <font>
      <name val="Arial"/>
      <color rgb="FF555555"/>
      <sz val="10"/>
    </font>
    <font>
      <name val="Arial"/>
      <i val="1"/>
      <color rgb="FF555555"/>
      <sz val="10"/>
    </font>
    <font>
      <name val="Arial"/>
      <b val="1"/>
      <color rgb="FFFFFFFF"/>
      <sz val="11"/>
    </font>
    <font>
      <name val="Arial"/>
      <color rgb="FF008000"/>
      <sz val="10"/>
    </font>
    <font>
      <name val="Arial"/>
      <color rgb="FFFF0000"/>
      <sz val="10"/>
    </font>
    <font>
      <name val="Arial"/>
      <b val="1"/>
      <color rgb="FFFF0000"/>
      <sz val="10"/>
    </font>
    <font>
      <name val="Arial"/>
      <b val="1"/>
      <color rgb="FF555555"/>
      <sz val="10"/>
    </font>
    <font>
      <name val="Arial"/>
      <b val="1"/>
      <i val="1"/>
      <color rgb="FF555555"/>
      <sz val="10"/>
    </font>
    <font>
      <name val="Arial"/>
      <i val="1"/>
      <color rgb="FFFF0000"/>
      <sz val="10"/>
    </font>
    <font>
      <name val="Arial"/>
      <color rgb="FFFF8C00"/>
      <sz val="10"/>
    </font>
    <font>
      <name val="Arial"/>
      <i val="1"/>
      <color rgb="FF888888"/>
      <sz val="9"/>
    </font>
    <font>
      <name val="Arial"/>
      <b val="1"/>
      <color rgb="FF333333"/>
      <sz val="10"/>
    </font>
    <font>
      <name val="Arial"/>
      <b val="1"/>
      <color rgb="FF006600"/>
      <sz val="10"/>
    </font>
    <font>
      <name val="Arial"/>
      <b val="1"/>
      <i val="1"/>
      <color rgb="FFFFFFFF"/>
      <sz val="11"/>
    </font>
    <font>
      <name val="Arial"/>
      <i val="1"/>
      <color rgb="FF008000"/>
      <sz val="10"/>
    </font>
    <font>
      <name val="Arial"/>
      <b val="1"/>
      <i val="1"/>
      <color rgb="FF008000"/>
      <sz val="10"/>
    </font>
    <font>
      <name val="Arial"/>
      <i val="1"/>
      <color rgb="FF7030A0"/>
      <sz val="10"/>
    </font>
    <font>
      <name val="Arial"/>
      <i val="1"/>
      <color rgb="FF548235"/>
      <sz val="10"/>
    </font>
    <font>
      <name val="Consolas"/>
      <color rgb="FF000000"/>
      <sz val="9"/>
    </font>
    <font>
      <name val="Consolas"/>
      <i val="1"/>
      <color rgb="FF4472C4"/>
      <sz val="9"/>
    </font>
    <font>
      <name val="Consolas"/>
      <b val="1"/>
      <color rgb="FFFFFFFF"/>
      <sz val="11"/>
    </font>
    <font>
      <name val="Arial"/>
      <b val="1"/>
      <color rgb="FFFFFFFF"/>
      <sz val="14"/>
    </font>
    <font>
      <name val="Arial"/>
      <i val="1"/>
      <color rgb="FF5C2D91"/>
      <sz val="10"/>
    </font>
    <font>
      <name val="Arial"/>
      <b val="1"/>
      <i val="1"/>
      <color rgb="FF5C2D91"/>
      <sz val="10"/>
    </font>
    <font>
      <name val="Arial"/>
      <b val="1"/>
      <i val="1"/>
      <color rgb="FFFFFFFF"/>
      <sz val="14"/>
    </font>
    <font>
      <name val="Arial"/>
      <family val="2"/>
      <color rgb="FF000000"/>
      <sz val="12"/>
    </font>
  </fonts>
  <fills count="9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C0C0C0"/>
        <bgColor rgb="FFC0C0C0"/>
      </patternFill>
    </fill>
    <fill>
      <patternFill patternType="solid">
        <fgColor rgb="FFFFD966"/>
        <bgColor rgb="FFFFD966"/>
      </patternFill>
    </fill>
    <fill>
      <patternFill patternType="solid">
        <fgColor rgb="FFCC99FF"/>
        <bgColor rgb="FFCC99FF"/>
      </patternFill>
    </fill>
    <fill>
      <patternFill patternType="solid">
        <fgColor rgb="FFF6B26B"/>
        <bgColor rgb="FFF6B26B"/>
      </patternFill>
    </fill>
    <fill>
      <patternFill patternType="solid">
        <fgColor rgb="FFCCFFFF"/>
        <bgColor rgb="FFCC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CF305"/>
        <bgColor rgb="FFFCF305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1FB714"/>
        <bgColor rgb="FF1FB714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CC99"/>
        <bgColor rgb="FFFFCC99"/>
      </patternFill>
    </fill>
    <fill>
      <patternFill patternType="solid">
        <fgColor rgb="FF000090"/>
        <bgColor rgb="FF000090"/>
      </patternFill>
    </fill>
    <fill>
      <patternFill patternType="solid">
        <fgColor rgb="FF00CCFF"/>
        <bgColor rgb="FF00CCFF"/>
      </patternFill>
    </fill>
    <fill>
      <patternFill patternType="solid">
        <fgColor rgb="FFFFFF99"/>
        <bgColor rgb="FFFFFF99"/>
      </patternFill>
    </fill>
    <fill>
      <patternFill patternType="solid">
        <fgColor rgb="FFDD0806"/>
        <bgColor rgb="FFDD0806"/>
      </patternFill>
    </fill>
    <fill>
      <patternFill patternType="solid">
        <fgColor rgb="FF4600A5"/>
        <bgColor rgb="FF4600A5"/>
      </patternFill>
    </fill>
    <fill>
      <patternFill patternType="solid">
        <fgColor rgb="FF99CCFF"/>
        <bgColor rgb="FF99CCFF"/>
      </patternFill>
    </fill>
    <fill>
      <patternFill patternType="solid">
        <fgColor rgb="FF00ABEA"/>
        <bgColor rgb="FF00ABEA"/>
      </patternFill>
    </fill>
    <fill>
      <patternFill patternType="solid">
        <fgColor rgb="FF0000D4"/>
        <bgColor rgb="FF0000D4"/>
      </patternFill>
    </fill>
    <fill>
      <patternFill patternType="solid">
        <fgColor rgb="FF4A86E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rgb="FF1C45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8D5E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D5E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6D8C3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5C2D91"/>
        <bgColor indexed="64"/>
      </patternFill>
    </fill>
    <fill>
      <patternFill patternType="solid">
        <fgColor rgb="FFE5D6F2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AAAAAA"/>
      </right>
      <top/>
      <bottom/>
      <diagonal/>
    </border>
  </borders>
  <cellStyleXfs count="2">
    <xf numFmtId="0" fontId="19" fillId="0" borderId="26"/>
    <xf numFmtId="0" fontId="19" fillId="0" borderId="26"/>
  </cellStyleXfs>
  <cellXfs count="852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3" pivotButton="0" quotePrefix="0" xfId="0"/>
    <xf numFmtId="0" fontId="1" fillId="4" borderId="4" applyAlignment="1" pivotButton="0" quotePrefix="0" xfId="0">
      <alignment horizontal="left"/>
    </xf>
    <xf numFmtId="0" fontId="1" fillId="5" borderId="4" applyAlignment="1" pivotButton="0" quotePrefix="0" xfId="0">
      <alignment horizontal="left"/>
    </xf>
    <xf numFmtId="0" fontId="1" fillId="6" borderId="4" applyAlignment="1" pivotButton="0" quotePrefix="0" xfId="0">
      <alignment horizontal="left"/>
    </xf>
    <xf numFmtId="0" fontId="1" fillId="7" borderId="4" applyAlignment="1" pivotButton="0" quotePrefix="0" xfId="0">
      <alignment horizontal="left"/>
    </xf>
    <xf numFmtId="0" fontId="1" fillId="8" borderId="4" applyAlignment="1" pivotButton="0" quotePrefix="0" xfId="0">
      <alignment horizontal="left"/>
    </xf>
    <xf numFmtId="0" fontId="1" fillId="9" borderId="4" applyAlignment="1" pivotButton="0" quotePrefix="0" xfId="0">
      <alignment horizontal="left"/>
    </xf>
    <xf numFmtId="0" fontId="1" fillId="10" borderId="4" applyAlignment="1" pivotButton="0" quotePrefix="0" xfId="0">
      <alignment horizontal="left"/>
    </xf>
    <xf numFmtId="0" fontId="1" fillId="11" borderId="4" applyAlignment="1" pivotButton="0" quotePrefix="0" xfId="0">
      <alignment horizontal="left"/>
    </xf>
    <xf numFmtId="0" fontId="1" fillId="11" borderId="5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2" borderId="2" applyAlignment="1" pivotButton="0" quotePrefix="0" xfId="0">
      <alignment horizontal="center" wrapText="1"/>
    </xf>
    <xf numFmtId="0" fontId="2" fillId="3" borderId="6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left"/>
    </xf>
    <xf numFmtId="0" fontId="3" fillId="3" borderId="7" applyAlignment="1" pivotButton="0" quotePrefix="0" xfId="0">
      <alignment horizontal="left"/>
    </xf>
    <xf numFmtId="2" fontId="2" fillId="2" borderId="2" pivotButton="0" quotePrefix="0" xfId="0"/>
    <xf numFmtId="164" fontId="2" fillId="3" borderId="6" pivotButton="0" quotePrefix="0" xfId="0"/>
    <xf numFmtId="164" fontId="3" fillId="3" borderId="0" applyAlignment="1" pivotButton="0" quotePrefix="0" xfId="0">
      <alignment horizontal="left"/>
    </xf>
    <xf numFmtId="164" fontId="3" fillId="3" borderId="7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0" fontId="2" fillId="12" borderId="6" pivotButton="0" quotePrefix="0" xfId="0"/>
    <xf numFmtId="0" fontId="3" fillId="12" borderId="0" applyAlignment="1" pivotButton="0" quotePrefix="0" xfId="0">
      <alignment horizontal="left"/>
    </xf>
    <xf numFmtId="0" fontId="3" fillId="12" borderId="7" applyAlignment="1" pivotButton="0" quotePrefix="0" xfId="0">
      <alignment horizontal="left"/>
    </xf>
    <xf numFmtId="164" fontId="2" fillId="12" borderId="6" pivotButton="0" quotePrefix="0" xfId="0"/>
    <xf numFmtId="164" fontId="3" fillId="12" borderId="0" applyAlignment="1" pivotButton="0" quotePrefix="0" xfId="0">
      <alignment horizontal="left"/>
    </xf>
    <xf numFmtId="164" fontId="3" fillId="12" borderId="7" applyAlignment="1" pivotButton="0" quotePrefix="0" xfId="0">
      <alignment horizontal="left"/>
    </xf>
    <xf numFmtId="0" fontId="2" fillId="13" borderId="6" pivotButton="0" quotePrefix="0" xfId="0"/>
    <xf numFmtId="0" fontId="3" fillId="13" borderId="0" applyAlignment="1" pivotButton="0" quotePrefix="0" xfId="0">
      <alignment horizontal="left"/>
    </xf>
    <xf numFmtId="0" fontId="3" fillId="13" borderId="7" applyAlignment="1" pivotButton="0" quotePrefix="0" xfId="0">
      <alignment horizontal="left"/>
    </xf>
    <xf numFmtId="164" fontId="2" fillId="13" borderId="6" pivotButton="0" quotePrefix="0" xfId="0"/>
    <xf numFmtId="164" fontId="3" fillId="13" borderId="0" applyAlignment="1" pivotButton="0" quotePrefix="0" xfId="0">
      <alignment horizontal="left"/>
    </xf>
    <xf numFmtId="164" fontId="3" fillId="13" borderId="7" applyAlignment="1" pivotButton="0" quotePrefix="0" xfId="0">
      <alignment horizontal="left"/>
    </xf>
    <xf numFmtId="0" fontId="2" fillId="14" borderId="6" pivotButton="0" quotePrefix="0" xfId="0"/>
    <xf numFmtId="0" fontId="3" fillId="14" borderId="0" applyAlignment="1" pivotButton="0" quotePrefix="0" xfId="0">
      <alignment horizontal="left"/>
    </xf>
    <xf numFmtId="0" fontId="3" fillId="14" borderId="7" applyAlignment="1" pivotButton="0" quotePrefix="0" xfId="0">
      <alignment horizontal="left"/>
    </xf>
    <xf numFmtId="164" fontId="2" fillId="14" borderId="6" pivotButton="0" quotePrefix="0" xfId="0"/>
    <xf numFmtId="164" fontId="3" fillId="14" borderId="0" applyAlignment="1" pivotButton="0" quotePrefix="0" xfId="0">
      <alignment horizontal="left"/>
    </xf>
    <xf numFmtId="164" fontId="3" fillId="14" borderId="7" applyAlignment="1" pivotButton="0" quotePrefix="0" xfId="0">
      <alignment horizontal="left"/>
    </xf>
    <xf numFmtId="0" fontId="2" fillId="15" borderId="6" pivotButton="0" quotePrefix="0" xfId="0"/>
    <xf numFmtId="0" fontId="3" fillId="15" borderId="0" applyAlignment="1" pivotButton="0" quotePrefix="0" xfId="0">
      <alignment horizontal="left"/>
    </xf>
    <xf numFmtId="0" fontId="3" fillId="15" borderId="7" applyAlignment="1" pivotButton="0" quotePrefix="0" xfId="0">
      <alignment horizontal="left"/>
    </xf>
    <xf numFmtId="164" fontId="3" fillId="15" borderId="0" applyAlignment="1" pivotButton="0" quotePrefix="0" xfId="0">
      <alignment horizontal="left"/>
    </xf>
    <xf numFmtId="164" fontId="3" fillId="15" borderId="7" applyAlignment="1" pivotButton="0" quotePrefix="0" xfId="0">
      <alignment horizontal="left"/>
    </xf>
    <xf numFmtId="0" fontId="2" fillId="16" borderId="6" pivotButton="0" quotePrefix="0" xfId="0"/>
    <xf numFmtId="0" fontId="3" fillId="16" borderId="0" applyAlignment="1" pivotButton="0" quotePrefix="0" xfId="0">
      <alignment horizontal="left"/>
    </xf>
    <xf numFmtId="0" fontId="3" fillId="16" borderId="7" applyAlignment="1" pivotButton="0" quotePrefix="0" xfId="0">
      <alignment horizontal="left"/>
    </xf>
    <xf numFmtId="164" fontId="2" fillId="16" borderId="6" pivotButton="0" quotePrefix="0" xfId="0"/>
    <xf numFmtId="164" fontId="3" fillId="16" borderId="0" applyAlignment="1" pivotButton="0" quotePrefix="0" xfId="0">
      <alignment horizontal="left"/>
    </xf>
    <xf numFmtId="164" fontId="3" fillId="16" borderId="7" applyAlignment="1" pivotButton="0" quotePrefix="0" xfId="0">
      <alignment horizontal="left"/>
    </xf>
    <xf numFmtId="0" fontId="2" fillId="17" borderId="6" pivotButton="0" quotePrefix="0" xfId="0"/>
    <xf numFmtId="0" fontId="3" fillId="17" borderId="0" applyAlignment="1" pivotButton="0" quotePrefix="0" xfId="0">
      <alignment horizontal="left"/>
    </xf>
    <xf numFmtId="0" fontId="3" fillId="17" borderId="7" applyAlignment="1" pivotButton="0" quotePrefix="0" xfId="0">
      <alignment horizontal="left"/>
    </xf>
    <xf numFmtId="0" fontId="2" fillId="2" borderId="2" pivotButton="0" quotePrefix="0" xfId="0"/>
    <xf numFmtId="164" fontId="2" fillId="17" borderId="11" pivotButton="0" quotePrefix="0" xfId="0"/>
    <xf numFmtId="164" fontId="3" fillId="17" borderId="12" applyAlignment="1" pivotButton="0" quotePrefix="0" xfId="0">
      <alignment horizontal="left"/>
    </xf>
    <xf numFmtId="164" fontId="3" fillId="17" borderId="13" applyAlignment="1" pivotButton="0" quotePrefix="0" xfId="0">
      <alignment horizontal="left"/>
    </xf>
    <xf numFmtId="164" fontId="2" fillId="3" borderId="0" applyAlignment="1" pivotButton="0" quotePrefix="0" xfId="0">
      <alignment horizontal="left" wrapText="1"/>
    </xf>
    <xf numFmtId="164" fontId="2" fillId="3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9" borderId="1" pivotButton="0" quotePrefix="0" xfId="0"/>
    <xf numFmtId="2" fontId="2" fillId="18" borderId="1" pivotButton="0" quotePrefix="0" xfId="0"/>
    <xf numFmtId="2" fontId="2" fillId="4" borderId="1" applyAlignment="1" pivotButton="0" quotePrefix="0" xfId="0">
      <alignment horizontal="left"/>
    </xf>
    <xf numFmtId="2" fontId="2" fillId="5" borderId="1" applyAlignment="1" pivotButton="0" quotePrefix="0" xfId="0">
      <alignment horizontal="left"/>
    </xf>
    <xf numFmtId="2" fontId="2" fillId="6" borderId="1" applyAlignment="1" pivotButton="0" quotePrefix="0" xfId="0">
      <alignment horizontal="left"/>
    </xf>
    <xf numFmtId="2" fontId="2" fillId="7" borderId="1" applyAlignment="1" pivotButton="0" quotePrefix="0" xfId="0">
      <alignment horizontal="left"/>
    </xf>
    <xf numFmtId="2" fontId="2" fillId="8" borderId="1" applyAlignment="1" pivotButton="0" quotePrefix="0" xfId="0">
      <alignment horizontal="left"/>
    </xf>
    <xf numFmtId="2" fontId="2" fillId="9" borderId="1" applyAlignment="1" pivotButton="0" quotePrefix="0" xfId="0">
      <alignment horizontal="left"/>
    </xf>
    <xf numFmtId="2" fontId="2" fillId="10" borderId="1" applyAlignment="1" pivotButton="0" quotePrefix="0" xfId="0">
      <alignment horizontal="left"/>
    </xf>
    <xf numFmtId="2" fontId="2" fillId="11" borderId="1" applyAlignment="1" pivotButton="0" quotePrefix="0" xfId="0">
      <alignment horizontal="left"/>
    </xf>
    <xf numFmtId="2" fontId="2" fillId="3" borderId="0" applyAlignment="1" pivotButton="0" quotePrefix="0" xfId="0">
      <alignment horizontal="left"/>
    </xf>
    <xf numFmtId="49" fontId="2" fillId="4" borderId="1" applyAlignment="1" pivotButton="0" quotePrefix="0" xfId="0">
      <alignment horizontal="left"/>
    </xf>
    <xf numFmtId="49" fontId="2" fillId="5" borderId="1" applyAlignment="1" pivotButton="0" quotePrefix="0" xfId="0">
      <alignment horizontal="left"/>
    </xf>
    <xf numFmtId="49" fontId="2" fillId="6" borderId="1" applyAlignment="1" pivotButton="0" quotePrefix="0" xfId="0">
      <alignment horizontal="left"/>
    </xf>
    <xf numFmtId="49" fontId="2" fillId="7" borderId="1" applyAlignment="1" pivotButton="0" quotePrefix="0" xfId="0">
      <alignment horizontal="left"/>
    </xf>
    <xf numFmtId="49" fontId="2" fillId="8" borderId="1" applyAlignment="1" pivotButton="0" quotePrefix="0" xfId="0">
      <alignment horizontal="left"/>
    </xf>
    <xf numFmtId="49" fontId="2" fillId="9" borderId="1" applyAlignment="1" pivotButton="0" quotePrefix="0" xfId="0">
      <alignment horizontal="left"/>
    </xf>
    <xf numFmtId="49" fontId="2" fillId="10" borderId="1" applyAlignment="1" pivotButton="0" quotePrefix="0" xfId="0">
      <alignment horizontal="left"/>
    </xf>
    <xf numFmtId="49" fontId="2" fillId="11" borderId="1" applyAlignment="1" pivotButton="0" quotePrefix="0" xfId="0">
      <alignment horizontal="left"/>
    </xf>
    <xf numFmtId="165" fontId="2" fillId="5" borderId="1" applyAlignment="1" pivotButton="0" quotePrefix="0" xfId="0">
      <alignment horizontal="left"/>
    </xf>
    <xf numFmtId="165" fontId="2" fillId="7" borderId="1" applyAlignment="1" pivotButton="0" quotePrefix="0" xfId="0">
      <alignment horizontal="left"/>
    </xf>
    <xf numFmtId="165" fontId="2" fillId="8" borderId="1" applyAlignment="1" pivotButton="0" quotePrefix="0" xfId="0">
      <alignment horizontal="left"/>
    </xf>
    <xf numFmtId="165" fontId="2" fillId="9" borderId="1" applyAlignment="1" pivotButton="0" quotePrefix="0" xfId="0">
      <alignment horizontal="left"/>
    </xf>
    <xf numFmtId="165" fontId="2" fillId="10" borderId="1" applyAlignment="1" pivotButton="0" quotePrefix="0" xfId="0">
      <alignment horizontal="left"/>
    </xf>
    <xf numFmtId="165" fontId="2" fillId="11" borderId="1" applyAlignment="1" pivotButton="0" quotePrefix="0" xfId="0">
      <alignment horizontal="left"/>
    </xf>
    <xf numFmtId="165" fontId="2" fillId="6" borderId="1" applyAlignment="1" pivotButton="0" quotePrefix="0" xfId="0">
      <alignment horizontal="left"/>
    </xf>
    <xf numFmtId="0" fontId="2" fillId="9" borderId="1" pivotButton="0" quotePrefix="0" xfId="0"/>
    <xf numFmtId="0" fontId="2" fillId="18" borderId="1" pivotButton="0" quotePrefix="0" xfId="0"/>
    <xf numFmtId="0" fontId="2" fillId="19" borderId="1" pivotButton="0" quotePrefix="0" xfId="0"/>
    <xf numFmtId="166" fontId="2" fillId="4" borderId="1" applyAlignment="1" pivotButton="0" quotePrefix="0" xfId="0">
      <alignment horizontal="left"/>
    </xf>
    <xf numFmtId="166" fontId="2" fillId="5" borderId="1" applyAlignment="1" pivotButton="0" quotePrefix="0" xfId="0">
      <alignment horizontal="left"/>
    </xf>
    <xf numFmtId="166" fontId="2" fillId="6" borderId="1" applyAlignment="1" pivotButton="0" quotePrefix="0" xfId="0">
      <alignment horizontal="left"/>
    </xf>
    <xf numFmtId="166" fontId="2" fillId="7" borderId="1" applyAlignment="1" pivotButton="0" quotePrefix="0" xfId="0">
      <alignment horizontal="left"/>
    </xf>
    <xf numFmtId="166" fontId="2" fillId="8" borderId="1" applyAlignment="1" pivotButton="0" quotePrefix="0" xfId="0">
      <alignment horizontal="left"/>
    </xf>
    <xf numFmtId="166" fontId="2" fillId="9" borderId="1" applyAlignment="1" pivotButton="0" quotePrefix="0" xfId="0">
      <alignment horizontal="left"/>
    </xf>
    <xf numFmtId="166" fontId="2" fillId="10" borderId="1" applyAlignment="1" pivotButton="0" quotePrefix="0" xfId="0">
      <alignment horizontal="left"/>
    </xf>
    <xf numFmtId="166" fontId="2" fillId="11" borderId="1" applyAlignment="1" pivotButton="0" quotePrefix="0" xfId="0">
      <alignment horizontal="left"/>
    </xf>
    <xf numFmtId="0" fontId="2" fillId="9" borderId="0" pivotButton="0" quotePrefix="0" xfId="0"/>
    <xf numFmtId="0" fontId="2" fillId="20" borderId="1" pivotButton="0" quotePrefix="0" xfId="0"/>
    <xf numFmtId="165" fontId="2" fillId="4" borderId="1" applyAlignment="1" pivotButton="0" quotePrefix="0" xfId="0">
      <alignment horizontal="left"/>
    </xf>
    <xf numFmtId="165" fontId="2" fillId="9" borderId="1" pivotButton="0" quotePrefix="0" xfId="0"/>
    <xf numFmtId="165" fontId="2" fillId="20" borderId="1" pivotButton="0" quotePrefix="0" xfId="0"/>
    <xf numFmtId="165" fontId="2" fillId="3" borderId="0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10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165" fontId="2" fillId="5" borderId="1" pivotButton="0" quotePrefix="0" xfId="0"/>
    <xf numFmtId="165" fontId="3" fillId="4" borderId="1" applyAlignment="1" pivotButton="0" quotePrefix="0" xfId="0">
      <alignment horizontal="left"/>
    </xf>
    <xf numFmtId="165" fontId="3" fillId="5" borderId="1" applyAlignment="1" pivotButton="0" quotePrefix="0" xfId="0">
      <alignment horizontal="left"/>
    </xf>
    <xf numFmtId="165" fontId="3" fillId="6" borderId="1" applyAlignment="1" pivotButton="0" quotePrefix="0" xfId="0">
      <alignment horizontal="left"/>
    </xf>
    <xf numFmtId="165" fontId="3" fillId="7" borderId="1" applyAlignment="1" pivotButton="0" quotePrefix="0" xfId="0">
      <alignment horizontal="left"/>
    </xf>
    <xf numFmtId="165" fontId="3" fillId="8" borderId="1" applyAlignment="1" pivotButton="0" quotePrefix="0" xfId="0">
      <alignment horizontal="left"/>
    </xf>
    <xf numFmtId="165" fontId="3" fillId="9" borderId="1" applyAlignment="1" pivotButton="0" quotePrefix="0" xfId="0">
      <alignment horizontal="left"/>
    </xf>
    <xf numFmtId="165" fontId="3" fillId="10" borderId="1" applyAlignment="1" pivotButton="0" quotePrefix="0" xfId="0">
      <alignment horizontal="left"/>
    </xf>
    <xf numFmtId="165" fontId="3" fillId="11" borderId="1" applyAlignment="1" pivotButton="0" quotePrefix="0" xfId="0">
      <alignment horizontal="left"/>
    </xf>
    <xf numFmtId="165" fontId="2" fillId="21" borderId="1" pivotButton="0" quotePrefix="0" xfId="0"/>
    <xf numFmtId="165" fontId="2" fillId="22" borderId="1" pivotButton="0" quotePrefix="0" xfId="0"/>
    <xf numFmtId="165" fontId="2" fillId="6" borderId="1" pivotButton="0" quotePrefix="0" xfId="0"/>
    <xf numFmtId="165" fontId="2" fillId="18" borderId="1" pivotButton="0" quotePrefix="0" xfId="0"/>
    <xf numFmtId="165" fontId="2" fillId="23" borderId="1" pivotButton="0" quotePrefix="0" xfId="0"/>
    <xf numFmtId="0" fontId="2" fillId="3" borderId="0" applyAlignment="1" pivotButton="0" quotePrefix="0" xfId="0">
      <alignment vertical="center" wrapText="1"/>
    </xf>
    <xf numFmtId="2" fontId="2" fillId="3" borderId="0" pivotButton="0" quotePrefix="0" xfId="0"/>
    <xf numFmtId="2" fontId="2" fillId="2" borderId="1" pivotButton="0" quotePrefix="0" xfId="0"/>
    <xf numFmtId="2" fontId="2" fillId="24" borderId="1" pivotButton="0" quotePrefix="0" xfId="0"/>
    <xf numFmtId="0" fontId="2" fillId="2" borderId="1" pivotButton="0" quotePrefix="0" xfId="0"/>
    <xf numFmtId="0" fontId="2" fillId="24" borderId="1" pivotButton="0" quotePrefix="0" xfId="0"/>
    <xf numFmtId="165" fontId="2" fillId="2" borderId="1" pivotButton="0" quotePrefix="0" xfId="0"/>
    <xf numFmtId="165" fontId="2" fillId="25" borderId="1" pivotButton="0" quotePrefix="0" xfId="0"/>
    <xf numFmtId="2" fontId="2" fillId="5" borderId="1" pivotButton="0" quotePrefix="0" xfId="0"/>
    <xf numFmtId="2" fontId="2" fillId="21" borderId="1" pivotButton="0" quotePrefix="0" xfId="0"/>
    <xf numFmtId="2" fontId="2" fillId="22" borderId="1" pivotButton="0" quotePrefix="0" xfId="0"/>
    <xf numFmtId="2" fontId="2" fillId="6" borderId="1" pivotButton="0" quotePrefix="0" xfId="0"/>
    <xf numFmtId="2" fontId="2" fillId="23" borderId="1" pivotButton="0" quotePrefix="0" xfId="0"/>
    <xf numFmtId="0" fontId="4" fillId="2" borderId="1" pivotButton="0" quotePrefix="0" xfId="0"/>
    <xf numFmtId="0" fontId="4" fillId="26" borderId="1" pivotButton="0" quotePrefix="0" xfId="0"/>
    <xf numFmtId="2" fontId="4" fillId="4" borderId="1" applyAlignment="1" pivotButton="0" quotePrefix="0" xfId="0">
      <alignment horizontal="left"/>
    </xf>
    <xf numFmtId="2" fontId="4" fillId="5" borderId="1" applyAlignment="1" pivotButton="0" quotePrefix="0" xfId="0">
      <alignment horizontal="left"/>
    </xf>
    <xf numFmtId="2" fontId="4" fillId="6" borderId="1" applyAlignment="1" pivotButton="0" quotePrefix="0" xfId="0">
      <alignment horizontal="left"/>
    </xf>
    <xf numFmtId="2" fontId="4" fillId="7" borderId="1" applyAlignment="1" pivotButton="0" quotePrefix="0" xfId="0">
      <alignment horizontal="left"/>
    </xf>
    <xf numFmtId="2" fontId="4" fillId="8" borderId="1" applyAlignment="1" pivotButton="0" quotePrefix="0" xfId="0">
      <alignment horizontal="left"/>
    </xf>
    <xf numFmtId="2" fontId="4" fillId="9" borderId="1" applyAlignment="1" pivotButton="0" quotePrefix="0" xfId="0">
      <alignment horizontal="left"/>
    </xf>
    <xf numFmtId="2" fontId="4" fillId="10" borderId="1" applyAlignment="1" pivotButton="0" quotePrefix="0" xfId="0">
      <alignment horizontal="left"/>
    </xf>
    <xf numFmtId="2" fontId="4" fillId="11" borderId="1" applyAlignment="1" pivotButton="0" quotePrefix="0" xfId="0">
      <alignment horizontal="left"/>
    </xf>
    <xf numFmtId="2" fontId="2" fillId="27" borderId="10" pivotButton="0" quotePrefix="0" xfId="0"/>
    <xf numFmtId="2" fontId="3" fillId="4" borderId="10" applyAlignment="1" pivotButton="0" quotePrefix="0" xfId="0">
      <alignment horizontal="left"/>
    </xf>
    <xf numFmtId="2" fontId="3" fillId="5" borderId="10" applyAlignment="1" pivotButton="0" quotePrefix="0" xfId="0">
      <alignment horizontal="left"/>
    </xf>
    <xf numFmtId="2" fontId="3" fillId="6" borderId="10" applyAlignment="1" pivotButton="0" quotePrefix="0" xfId="0">
      <alignment horizontal="left"/>
    </xf>
    <xf numFmtId="2" fontId="3" fillId="7" borderId="10" applyAlignment="1" pivotButton="0" quotePrefix="0" xfId="0">
      <alignment horizontal="left"/>
    </xf>
    <xf numFmtId="2" fontId="3" fillId="8" borderId="10" applyAlignment="1" pivotButton="0" quotePrefix="0" xfId="0">
      <alignment horizontal="left"/>
    </xf>
    <xf numFmtId="2" fontId="3" fillId="9" borderId="10" applyAlignment="1" pivotButton="0" quotePrefix="0" xfId="0">
      <alignment horizontal="left"/>
    </xf>
    <xf numFmtId="2" fontId="3" fillId="10" borderId="10" applyAlignment="1" pivotButton="0" quotePrefix="0" xfId="0">
      <alignment horizontal="left"/>
    </xf>
    <xf numFmtId="2" fontId="3" fillId="11" borderId="10" applyAlignment="1" pivotButton="0" quotePrefix="0" xfId="0">
      <alignment horizontal="left"/>
    </xf>
    <xf numFmtId="0" fontId="2" fillId="27" borderId="1" pivotButton="0" quotePrefix="0" xfId="0"/>
    <xf numFmtId="2" fontId="3" fillId="4" borderId="1" applyAlignment="1" pivotButton="0" quotePrefix="0" xfId="0">
      <alignment horizontal="left"/>
    </xf>
    <xf numFmtId="2" fontId="3" fillId="5" borderId="1" applyAlignment="1" pivotButton="0" quotePrefix="0" xfId="0">
      <alignment horizontal="left"/>
    </xf>
    <xf numFmtId="2" fontId="3" fillId="6" borderId="1" applyAlignment="1" pivotButton="0" quotePrefix="0" xfId="0">
      <alignment horizontal="left"/>
    </xf>
    <xf numFmtId="2" fontId="3" fillId="7" borderId="1" applyAlignment="1" pivotButton="0" quotePrefix="0" xfId="0">
      <alignment horizontal="left"/>
    </xf>
    <xf numFmtId="2" fontId="3" fillId="8" borderId="1" applyAlignment="1" pivotButton="0" quotePrefix="0" xfId="0">
      <alignment horizontal="left"/>
    </xf>
    <xf numFmtId="2" fontId="3" fillId="9" borderId="1" applyAlignment="1" pivotButton="0" quotePrefix="0" xfId="0">
      <alignment horizontal="left"/>
    </xf>
    <xf numFmtId="2" fontId="3" fillId="10" borderId="1" applyAlignment="1" pivotButton="0" quotePrefix="0" xfId="0">
      <alignment horizontal="left"/>
    </xf>
    <xf numFmtId="2" fontId="3" fillId="11" borderId="1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2" fontId="2" fillId="27" borderId="1" pivotButton="0" quotePrefix="0" xfId="0"/>
    <xf numFmtId="2" fontId="3" fillId="2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0" fontId="3" fillId="7" borderId="1" applyAlignment="1" pivotButton="0" quotePrefix="0" xfId="0">
      <alignment horizontal="left"/>
    </xf>
    <xf numFmtId="0" fontId="3" fillId="8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3" fillId="10" borderId="1" applyAlignment="1" pivotButton="0" quotePrefix="0" xfId="0">
      <alignment horizontal="left"/>
    </xf>
    <xf numFmtId="0" fontId="3" fillId="11" borderId="1" applyAlignment="1" pivotButton="0" quotePrefix="0" xfId="0">
      <alignment horizontal="left"/>
    </xf>
    <xf numFmtId="0" fontId="4" fillId="3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vertical="center" wrapText="1"/>
    </xf>
    <xf numFmtId="2" fontId="2" fillId="28" borderId="2" pivotButton="0" quotePrefix="0" xfId="0"/>
    <xf numFmtId="164" fontId="2" fillId="3" borderId="1" pivotButton="0" quotePrefix="0" xfId="0"/>
    <xf numFmtId="164" fontId="3" fillId="3" borderId="1" applyAlignment="1" pivotButton="0" quotePrefix="0" xfId="0">
      <alignment horizontal="left"/>
    </xf>
    <xf numFmtId="164" fontId="2" fillId="12" borderId="1" pivotButton="0" quotePrefix="0" xfId="0"/>
    <xf numFmtId="164" fontId="3" fillId="12" borderId="1" applyAlignment="1" pivotButton="0" quotePrefix="0" xfId="0">
      <alignment horizontal="left"/>
    </xf>
    <xf numFmtId="164" fontId="2" fillId="13" borderId="1" pivotButton="0" quotePrefix="0" xfId="0"/>
    <xf numFmtId="164" fontId="3" fillId="13" borderId="1" applyAlignment="1" pivotButton="0" quotePrefix="0" xfId="0">
      <alignment horizontal="left"/>
    </xf>
    <xf numFmtId="164" fontId="2" fillId="14" borderId="1" pivotButton="0" quotePrefix="0" xfId="0"/>
    <xf numFmtId="164" fontId="3" fillId="14" borderId="1" applyAlignment="1" pivotButton="0" quotePrefix="0" xfId="0">
      <alignment horizontal="left"/>
    </xf>
    <xf numFmtId="0" fontId="2" fillId="15" borderId="1" pivotButton="0" quotePrefix="0" xfId="0"/>
    <xf numFmtId="164" fontId="3" fillId="15" borderId="1" applyAlignment="1" pivotButton="0" quotePrefix="0" xfId="0">
      <alignment horizontal="left"/>
    </xf>
    <xf numFmtId="164" fontId="2" fillId="16" borderId="1" pivotButton="0" quotePrefix="0" xfId="0"/>
    <xf numFmtId="164" fontId="3" fillId="16" borderId="1" applyAlignment="1" pivotButton="0" quotePrefix="0" xfId="0">
      <alignment horizontal="left"/>
    </xf>
    <xf numFmtId="0" fontId="2" fillId="28" borderId="2" pivotButton="0" quotePrefix="0" xfId="0"/>
    <xf numFmtId="164" fontId="2" fillId="17" borderId="1" pivotButton="0" quotePrefix="0" xfId="0"/>
    <xf numFmtId="164" fontId="3" fillId="17" borderId="1" applyAlignment="1" pivotButton="0" quotePrefix="0" xfId="0">
      <alignment horizontal="left"/>
    </xf>
    <xf numFmtId="0" fontId="4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29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4" fillId="24" borderId="0" applyAlignment="1" pivotButton="0" quotePrefix="0" xfId="0">
      <alignment horizontal="left"/>
    </xf>
    <xf numFmtId="0" fontId="2" fillId="30" borderId="0" pivotButton="0" quotePrefix="0" xfId="0"/>
    <xf numFmtId="0" fontId="2" fillId="21" borderId="0" applyAlignment="1" pivotButton="0" quotePrefix="0" xfId="0">
      <alignment horizontal="left"/>
    </xf>
    <xf numFmtId="0" fontId="2" fillId="31" borderId="0" applyAlignment="1" pivotButton="0" quotePrefix="0" xfId="0">
      <alignment horizontal="left"/>
    </xf>
    <xf numFmtId="0" fontId="2" fillId="32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2" fillId="33" borderId="0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0" fontId="2" fillId="10" borderId="0" applyAlignment="1" pivotButton="0" quotePrefix="0" xfId="0">
      <alignment horizontal="left"/>
    </xf>
    <xf numFmtId="0" fontId="2" fillId="34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2" fontId="2" fillId="27" borderId="0" pivotButton="0" quotePrefix="0" xfId="0"/>
    <xf numFmtId="2" fontId="2" fillId="24" borderId="0" pivotButton="0" quotePrefix="0" xfId="0"/>
    <xf numFmtId="2" fontId="2" fillId="21" borderId="0" applyAlignment="1" pivotButton="0" quotePrefix="0" xfId="0">
      <alignment horizontal="left"/>
    </xf>
    <xf numFmtId="2" fontId="2" fillId="31" borderId="0" applyAlignment="1" pivotButton="0" quotePrefix="0" xfId="0">
      <alignment horizontal="left"/>
    </xf>
    <xf numFmtId="2" fontId="2" fillId="32" borderId="0" applyAlignment="1" pivotButton="0" quotePrefix="0" xfId="0">
      <alignment horizontal="left"/>
    </xf>
    <xf numFmtId="2" fontId="2" fillId="6" borderId="0" applyAlignment="1" pivotButton="0" quotePrefix="0" xfId="0">
      <alignment horizontal="left"/>
    </xf>
    <xf numFmtId="2" fontId="2" fillId="33" borderId="0" applyAlignment="1" pivotButton="0" quotePrefix="0" xfId="0">
      <alignment horizontal="left"/>
    </xf>
    <xf numFmtId="2" fontId="2" fillId="8" borderId="0" applyAlignment="1" pivotButton="0" quotePrefix="0" xfId="0">
      <alignment horizontal="left"/>
    </xf>
    <xf numFmtId="2" fontId="2" fillId="10" borderId="0" applyAlignment="1" pivotButton="0" quotePrefix="0" xfId="0">
      <alignment horizontal="left"/>
    </xf>
    <xf numFmtId="2" fontId="2" fillId="34" borderId="0" applyAlignment="1" pivotButton="0" quotePrefix="0" xfId="0">
      <alignment horizontal="left"/>
    </xf>
    <xf numFmtId="2" fontId="2" fillId="7" borderId="0" applyAlignment="1" pivotButton="0" quotePrefix="0" xfId="0">
      <alignment horizontal="left"/>
    </xf>
    <xf numFmtId="2" fontId="2" fillId="9" borderId="0" applyAlignment="1" pivotButton="0" quotePrefix="0" xfId="0">
      <alignment horizontal="left"/>
    </xf>
    <xf numFmtId="165" fontId="2" fillId="7" borderId="0" applyAlignment="1" pivotButton="0" quotePrefix="0" xfId="0">
      <alignment horizontal="left"/>
    </xf>
    <xf numFmtId="165" fontId="2" fillId="9" borderId="0" applyAlignment="1" pivotButton="0" quotePrefix="0" xfId="0">
      <alignment horizontal="left"/>
    </xf>
    <xf numFmtId="0" fontId="2" fillId="27" borderId="0" pivotButton="0" quotePrefix="0" xfId="0"/>
    <xf numFmtId="0" fontId="2" fillId="24" borderId="0" pivotButton="0" quotePrefix="0" xfId="0"/>
    <xf numFmtId="165" fontId="2" fillId="21" borderId="0" applyAlignment="1" pivotButton="0" quotePrefix="0" xfId="0">
      <alignment horizontal="left"/>
    </xf>
    <xf numFmtId="165" fontId="2" fillId="31" borderId="0" applyAlignment="1" pivotButton="0" quotePrefix="0" xfId="0">
      <alignment horizontal="left"/>
    </xf>
    <xf numFmtId="165" fontId="2" fillId="32" borderId="0" applyAlignment="1" pivotButton="0" quotePrefix="0" xfId="0">
      <alignment horizontal="left"/>
    </xf>
    <xf numFmtId="165" fontId="2" fillId="6" borderId="0" applyAlignment="1" pivotButton="0" quotePrefix="0" xfId="0">
      <alignment horizontal="left"/>
    </xf>
    <xf numFmtId="165" fontId="2" fillId="33" borderId="0" applyAlignment="1" pivotButton="0" quotePrefix="0" xfId="0">
      <alignment horizontal="left"/>
    </xf>
    <xf numFmtId="165" fontId="2" fillId="8" borderId="0" applyAlignment="1" pivotButton="0" quotePrefix="0" xfId="0">
      <alignment horizontal="left"/>
    </xf>
    <xf numFmtId="165" fontId="2" fillId="10" borderId="0" applyAlignment="1" pivotButton="0" quotePrefix="0" xfId="0">
      <alignment horizontal="left"/>
    </xf>
    <xf numFmtId="165" fontId="2" fillId="34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2" fontId="2" fillId="18" borderId="0" pivotButton="0" quotePrefix="0" xfId="0"/>
    <xf numFmtId="2" fontId="2" fillId="0" borderId="0" applyAlignment="1" pivotButton="0" quotePrefix="0" xfId="0">
      <alignment horizontal="left"/>
    </xf>
    <xf numFmtId="0" fontId="2" fillId="18" borderId="0" pivotButton="0" quotePrefix="0" xfId="0"/>
    <xf numFmtId="0" fontId="2" fillId="2" borderId="0" pivotButton="0" quotePrefix="0" xfId="0"/>
    <xf numFmtId="167" fontId="2" fillId="33" borderId="0" applyAlignment="1" pivotButton="0" quotePrefix="0" xfId="0">
      <alignment horizontal="left"/>
    </xf>
    <xf numFmtId="167" fontId="2" fillId="8" borderId="0" applyAlignment="1" pivotButton="0" quotePrefix="0" xfId="0">
      <alignment horizontal="left"/>
    </xf>
    <xf numFmtId="167" fontId="2" fillId="10" borderId="0" applyAlignment="1" pivotButton="0" quotePrefix="0" xfId="0">
      <alignment horizontal="left"/>
    </xf>
    <xf numFmtId="165" fontId="2" fillId="25" borderId="0" pivotButton="0" quotePrefix="0" xfId="0"/>
    <xf numFmtId="165" fontId="2" fillId="20" borderId="0" pivotButton="0" quotePrefix="0" xfId="0"/>
    <xf numFmtId="0" fontId="2" fillId="20" borderId="0" pivotButton="0" quotePrefix="0" xfId="0"/>
    <xf numFmtId="0" fontId="4" fillId="3" borderId="0" applyAlignment="1" pivotButton="0" quotePrefix="0" xfId="0">
      <alignment horizontal="right"/>
    </xf>
    <xf numFmtId="165" fontId="4" fillId="0" borderId="0" pivotButton="0" quotePrefix="0" xfId="0"/>
    <xf numFmtId="0" fontId="4" fillId="2" borderId="0" pivotButton="0" quotePrefix="0" xfId="0"/>
    <xf numFmtId="0" fontId="7" fillId="2" borderId="0" pivotButton="0" quotePrefix="0" xfId="0"/>
    <xf numFmtId="164" fontId="2" fillId="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left"/>
    </xf>
    <xf numFmtId="164" fontId="2" fillId="12" borderId="0" pivotButton="0" quotePrefix="0" xfId="0"/>
    <xf numFmtId="164" fontId="8" fillId="12" borderId="0" applyAlignment="1" pivotButton="0" quotePrefix="0" xfId="0">
      <alignment horizontal="left"/>
    </xf>
    <xf numFmtId="165" fontId="2" fillId="12" borderId="0" pivotButton="0" quotePrefix="0" xfId="0"/>
    <xf numFmtId="165" fontId="2" fillId="2" borderId="0" pivotButton="0" quotePrefix="0" xfId="0"/>
    <xf numFmtId="165" fontId="3" fillId="12" borderId="0" applyAlignment="1" pivotButton="0" quotePrefix="0" xfId="0">
      <alignment horizontal="left"/>
    </xf>
    <xf numFmtId="165" fontId="8" fillId="12" borderId="0" applyAlignment="1" pivotButton="0" quotePrefix="0" xfId="0">
      <alignment horizontal="left"/>
    </xf>
    <xf numFmtId="0" fontId="2" fillId="13" borderId="0" pivotButton="0" quotePrefix="0" xfId="0"/>
    <xf numFmtId="0" fontId="2" fillId="13" borderId="0" applyAlignment="1" pivotButton="0" quotePrefix="0" xfId="0">
      <alignment horizontal="left"/>
    </xf>
    <xf numFmtId="164" fontId="2" fillId="13" borderId="0" pivotButton="0" quotePrefix="0" xfId="0"/>
    <xf numFmtId="164" fontId="8" fillId="13" borderId="0" applyAlignment="1" pivotButton="0" quotePrefix="0" xfId="0">
      <alignment horizontal="left"/>
    </xf>
    <xf numFmtId="165" fontId="2" fillId="13" borderId="0" pivotButton="0" quotePrefix="0" xfId="0"/>
    <xf numFmtId="165" fontId="3" fillId="13" borderId="0" applyAlignment="1" pivotButton="0" quotePrefix="0" xfId="0">
      <alignment horizontal="left"/>
    </xf>
    <xf numFmtId="165" fontId="8" fillId="13" borderId="0" applyAlignment="1" pivotButton="0" quotePrefix="0" xfId="0">
      <alignment horizontal="left"/>
    </xf>
    <xf numFmtId="0" fontId="2" fillId="14" borderId="0" pivotButton="0" quotePrefix="0" xfId="0"/>
    <xf numFmtId="0" fontId="2" fillId="14" borderId="0" applyAlignment="1" pivotButton="0" quotePrefix="0" xfId="0">
      <alignment horizontal="left"/>
    </xf>
    <xf numFmtId="164" fontId="2" fillId="14" borderId="0" pivotButton="0" quotePrefix="0" xfId="0"/>
    <xf numFmtId="164" fontId="8" fillId="14" borderId="0" applyAlignment="1" pivotButton="0" quotePrefix="0" xfId="0">
      <alignment horizontal="left"/>
    </xf>
    <xf numFmtId="165" fontId="2" fillId="14" borderId="0" pivotButton="0" quotePrefix="0" xfId="0"/>
    <xf numFmtId="165" fontId="3" fillId="14" borderId="0" applyAlignment="1" pivotButton="0" quotePrefix="0" xfId="0">
      <alignment horizontal="left"/>
    </xf>
    <xf numFmtId="165" fontId="8" fillId="14" borderId="0" applyAlignment="1" pivotButton="0" quotePrefix="0" xfId="0">
      <alignment horizontal="left"/>
    </xf>
    <xf numFmtId="0" fontId="2" fillId="15" borderId="0" pivotButton="0" quotePrefix="0" xfId="0"/>
    <xf numFmtId="0" fontId="2" fillId="15" borderId="0" applyAlignment="1" pivotButton="0" quotePrefix="0" xfId="0">
      <alignment horizontal="left"/>
    </xf>
    <xf numFmtId="164" fontId="2" fillId="15" borderId="0" applyAlignment="1" pivotButton="0" quotePrefix="0" xfId="0">
      <alignment horizontal="left"/>
    </xf>
    <xf numFmtId="165" fontId="2" fillId="15" borderId="0" pivotButton="0" quotePrefix="0" xfId="0"/>
    <xf numFmtId="165" fontId="2" fillId="15" borderId="0" applyAlignment="1" pivotButton="0" quotePrefix="0" xfId="0">
      <alignment horizontal="left"/>
    </xf>
    <xf numFmtId="0" fontId="2" fillId="16" borderId="0" pivotButton="0" quotePrefix="0" xfId="0"/>
    <xf numFmtId="0" fontId="2" fillId="16" borderId="0" applyAlignment="1" pivotButton="0" quotePrefix="0" xfId="0">
      <alignment horizontal="left"/>
    </xf>
    <xf numFmtId="164" fontId="2" fillId="16" borderId="0" pivotButton="0" quotePrefix="0" xfId="0"/>
    <xf numFmtId="164" fontId="8" fillId="16" borderId="0" applyAlignment="1" pivotButton="0" quotePrefix="0" xfId="0">
      <alignment horizontal="left"/>
    </xf>
    <xf numFmtId="165" fontId="2" fillId="16" borderId="0" pivotButton="0" quotePrefix="0" xfId="0"/>
    <xf numFmtId="165" fontId="3" fillId="16" borderId="0" applyAlignment="1" pivotButton="0" quotePrefix="0" xfId="0">
      <alignment horizontal="left"/>
    </xf>
    <xf numFmtId="165" fontId="8" fillId="16" borderId="0" applyAlignment="1" pivotButton="0" quotePrefix="0" xfId="0">
      <alignment horizontal="left"/>
    </xf>
    <xf numFmtId="0" fontId="2" fillId="17" borderId="0" pivotButton="0" quotePrefix="0" xfId="0"/>
    <xf numFmtId="0" fontId="2" fillId="17" borderId="0" applyAlignment="1" pivotButton="0" quotePrefix="0" xfId="0">
      <alignment horizontal="left"/>
    </xf>
    <xf numFmtId="164" fontId="2" fillId="17" borderId="0" pivotButton="0" quotePrefix="0" xfId="0"/>
    <xf numFmtId="164" fontId="8" fillId="17" borderId="0" applyAlignment="1" pivotButton="0" quotePrefix="0" xfId="0">
      <alignment horizontal="left"/>
    </xf>
    <xf numFmtId="165" fontId="2" fillId="17" borderId="0" pivotButton="0" quotePrefix="0" xfId="0"/>
    <xf numFmtId="165" fontId="3" fillId="17" borderId="0" applyAlignment="1" pivotButton="0" quotePrefix="0" xfId="0">
      <alignment horizontal="left"/>
    </xf>
    <xf numFmtId="165" fontId="8" fillId="17" borderId="0" applyAlignment="1" pivotButton="0" quotePrefix="0" xfId="0">
      <alignment horizontal="left"/>
    </xf>
    <xf numFmtId="165" fontId="2" fillId="3" borderId="0" pivotButton="0" quotePrefix="0" xfId="0"/>
    <xf numFmtId="165" fontId="3" fillId="3" borderId="0" applyAlignment="1" pivotButton="0" quotePrefix="0" xfId="0">
      <alignment horizontal="left"/>
    </xf>
    <xf numFmtId="165" fontId="8" fillId="3" borderId="0" applyAlignment="1" pivotButton="0" quotePrefix="0" xfId="0">
      <alignment horizontal="left"/>
    </xf>
    <xf numFmtId="165" fontId="1" fillId="25" borderId="0" pivotButton="0" quotePrefix="0" xfId="0"/>
    <xf numFmtId="0" fontId="2" fillId="25" borderId="0" pivotButton="0" quotePrefix="0" xfId="0"/>
    <xf numFmtId="164" fontId="2" fillId="25" borderId="0" pivotButton="0" quotePrefix="0" xfId="0"/>
    <xf numFmtId="49" fontId="4" fillId="0" borderId="0" pivotButton="0" quotePrefix="0" xfId="0"/>
    <xf numFmtId="168" fontId="4" fillId="0" borderId="0" pivotButton="0" quotePrefix="0" xfId="0"/>
    <xf numFmtId="14" fontId="4" fillId="0" borderId="0" pivotButton="0" quotePrefix="0" xfId="0"/>
    <xf numFmtId="49" fontId="4" fillId="30" borderId="0" pivotButton="0" quotePrefix="0" xfId="0"/>
    <xf numFmtId="168" fontId="4" fillId="30" borderId="0" pivotButton="0" quotePrefix="0" xfId="0"/>
    <xf numFmtId="0" fontId="4" fillId="30" borderId="0" pivotButton="0" quotePrefix="0" xfId="0"/>
    <xf numFmtId="14" fontId="4" fillId="30" borderId="0" pivotButton="0" quotePrefix="0" xfId="0"/>
    <xf numFmtId="169" fontId="4" fillId="30" borderId="0" pivotButton="0" quotePrefix="0" xfId="0"/>
    <xf numFmtId="170" fontId="4" fillId="30" borderId="0" pivotButton="0" quotePrefix="0" xfId="0"/>
    <xf numFmtId="0" fontId="4" fillId="24" borderId="0" pivotButton="0" quotePrefix="0" xfId="0"/>
    <xf numFmtId="169" fontId="4" fillId="0" borderId="0" pivotButton="0" quotePrefix="0" xfId="0"/>
    <xf numFmtId="170" fontId="4" fillId="0" borderId="0" pivotButton="0" quotePrefix="0" xfId="0"/>
    <xf numFmtId="0" fontId="4" fillId="35" borderId="0" pivotButton="0" quotePrefix="0" xfId="0"/>
    <xf numFmtId="49" fontId="4" fillId="29" borderId="0" pivotButton="0" quotePrefix="0" xfId="0"/>
    <xf numFmtId="168" fontId="4" fillId="29" borderId="0" pivotButton="0" quotePrefix="0" xfId="0"/>
    <xf numFmtId="0" fontId="4" fillId="29" borderId="0" pivotButton="0" quotePrefix="0" xfId="0"/>
    <xf numFmtId="14" fontId="4" fillId="29" borderId="0" pivotButton="0" quotePrefix="0" xfId="0"/>
    <xf numFmtId="169" fontId="4" fillId="29" borderId="0" pivotButton="0" quotePrefix="0" xfId="0"/>
    <xf numFmtId="170" fontId="4" fillId="29" borderId="0" pivotButton="0" quotePrefix="0" xfId="0"/>
    <xf numFmtId="49" fontId="4" fillId="24" borderId="0" pivotButton="0" quotePrefix="0" xfId="0"/>
    <xf numFmtId="168" fontId="4" fillId="24" borderId="0" pivotButton="0" quotePrefix="0" xfId="0"/>
    <xf numFmtId="14" fontId="4" fillId="24" borderId="0" pivotButton="0" quotePrefix="0" xfId="0"/>
    <xf numFmtId="168" fontId="4" fillId="3" borderId="0" pivotButton="0" quotePrefix="0" xfId="0"/>
    <xf numFmtId="0" fontId="0" fillId="3" borderId="0" pivotButton="0" quotePrefix="0" xfId="0"/>
    <xf numFmtId="49" fontId="0" fillId="36" borderId="0" pivotButton="0" quotePrefix="0" xfId="0"/>
    <xf numFmtId="49" fontId="0" fillId="3" borderId="0" pivotButton="0" quotePrefix="0" xfId="0"/>
    <xf numFmtId="49" fontId="0" fillId="0" borderId="0" pivotButton="0" quotePrefix="0" xfId="0"/>
    <xf numFmtId="4" fontId="0" fillId="3" borderId="0" pivotButton="0" quotePrefix="0" xfId="0"/>
    <xf numFmtId="0" fontId="0" fillId="3" borderId="14" pivotButton="0" quotePrefix="0" xfId="0"/>
    <xf numFmtId="0" fontId="0" fillId="3" borderId="15" pivotButton="0" quotePrefix="0" xfId="0"/>
    <xf numFmtId="49" fontId="0" fillId="36" borderId="16" pivotButton="0" quotePrefix="0" xfId="0"/>
    <xf numFmtId="49" fontId="0" fillId="3" borderId="15" pivotButton="0" quotePrefix="0" xfId="0"/>
    <xf numFmtId="49" fontId="0" fillId="0" borderId="15" pivotButton="0" quotePrefix="0" xfId="0"/>
    <xf numFmtId="4" fontId="0" fillId="3" borderId="15" pivotButton="0" quotePrefix="0" xfId="0"/>
    <xf numFmtId="49" fontId="0" fillId="0" borderId="17" pivotButton="0" quotePrefix="0" xfId="0"/>
    <xf numFmtId="49" fontId="0" fillId="3" borderId="18" pivotButton="0" quotePrefix="0" xfId="0"/>
    <xf numFmtId="49" fontId="9" fillId="37" borderId="19" pivotButton="0" quotePrefix="0" xfId="0"/>
    <xf numFmtId="167" fontId="9" fillId="37" borderId="20" pivotButton="0" quotePrefix="0" xfId="0"/>
    <xf numFmtId="0" fontId="9" fillId="37" borderId="20" pivotButton="0" quotePrefix="0" xfId="0"/>
    <xf numFmtId="0" fontId="10" fillId="37" borderId="20" pivotButton="0" quotePrefix="0" xfId="0"/>
    <xf numFmtId="0" fontId="0" fillId="3" borderId="18" pivotButton="0" quotePrefix="0" xfId="0"/>
    <xf numFmtId="49" fontId="0" fillId="36" borderId="20" pivotButton="0" quotePrefix="0" xfId="0"/>
    <xf numFmtId="165" fontId="0" fillId="0" borderId="15" pivotButton="0" quotePrefix="0" xfId="0"/>
    <xf numFmtId="171" fontId="0" fillId="3" borderId="15" pivotButton="0" quotePrefix="0" xfId="0"/>
    <xf numFmtId="171" fontId="0" fillId="0" borderId="15" pivotButton="0" quotePrefix="0" xfId="0"/>
    <xf numFmtId="167" fontId="0" fillId="0" borderId="15" pivotButton="0" quotePrefix="0" xfId="0"/>
    <xf numFmtId="167" fontId="0" fillId="3" borderId="15" pivotButton="0" quotePrefix="0" xfId="0"/>
    <xf numFmtId="167" fontId="0" fillId="0" borderId="17" pivotButton="0" quotePrefix="0" xfId="0"/>
    <xf numFmtId="0" fontId="0" fillId="3" borderId="24" pivotButton="0" quotePrefix="0" xfId="0"/>
    <xf numFmtId="49" fontId="12" fillId="3" borderId="18" pivotButton="0" quotePrefix="0" xfId="0"/>
    <xf numFmtId="49" fontId="13" fillId="3" borderId="15" pivotButton="0" quotePrefix="0" xfId="0"/>
    <xf numFmtId="49" fontId="11" fillId="3" borderId="24" pivotButton="0" quotePrefix="0" xfId="0"/>
    <xf numFmtId="49" fontId="0" fillId="3" borderId="27" applyAlignment="1" pivotButton="0" quotePrefix="0" xfId="0">
      <alignment horizontal="left"/>
    </xf>
    <xf numFmtId="49" fontId="0" fillId="3" borderId="14" pivotButton="0" quotePrefix="0" xfId="0"/>
    <xf numFmtId="49" fontId="0" fillId="3" borderId="14" applyAlignment="1" pivotButton="0" quotePrefix="0" xfId="0">
      <alignment horizontal="right"/>
    </xf>
    <xf numFmtId="49" fontId="13" fillId="3" borderId="15" applyAlignment="1" pivotButton="0" quotePrefix="0" xfId="0">
      <alignment horizontal="right"/>
    </xf>
    <xf numFmtId="0" fontId="0" fillId="3" borderId="28" pivotButton="0" quotePrefix="0" xfId="0"/>
    <xf numFmtId="165" fontId="11" fillId="19" borderId="20" pivotButton="0" quotePrefix="0" xfId="0"/>
    <xf numFmtId="172" fontId="11" fillId="11" borderId="20" pivotButton="0" quotePrefix="0" xfId="0"/>
    <xf numFmtId="171" fontId="11" fillId="11" borderId="20" pivotButton="0" quotePrefix="0" xfId="0"/>
    <xf numFmtId="167" fontId="14" fillId="3" borderId="15" pivotButton="0" quotePrefix="0" xfId="0"/>
    <xf numFmtId="49" fontId="0" fillId="3" borderId="14" applyAlignment="1" pivotButton="0" quotePrefix="0" xfId="0">
      <alignment horizontal="left"/>
    </xf>
    <xf numFmtId="171" fontId="11" fillId="19" borderId="20" pivotButton="0" quotePrefix="0" xfId="0"/>
    <xf numFmtId="49" fontId="0" fillId="3" borderId="27" pivotButton="0" quotePrefix="0" xfId="0"/>
    <xf numFmtId="165" fontId="0" fillId="24" borderId="15" pivotButton="0" quotePrefix="0" xfId="0"/>
    <xf numFmtId="49" fontId="0" fillId="3" borderId="14" applyAlignment="1" pivotButton="0" quotePrefix="0" xfId="0">
      <alignment horizontal="center"/>
    </xf>
    <xf numFmtId="49" fontId="15" fillId="3" borderId="14" pivotButton="0" quotePrefix="0" xfId="0"/>
    <xf numFmtId="49" fontId="15" fillId="3" borderId="14" applyAlignment="1" pivotButton="0" quotePrefix="0" xfId="0">
      <alignment horizontal="left"/>
    </xf>
    <xf numFmtId="167" fontId="11" fillId="19" borderId="20" pivotButton="0" quotePrefix="0" xfId="0"/>
    <xf numFmtId="167" fontId="16" fillId="28" borderId="20" pivotButton="0" quotePrefix="0" xfId="0"/>
    <xf numFmtId="171" fontId="16" fillId="28" borderId="20" pivotButton="0" quotePrefix="0" xfId="0"/>
    <xf numFmtId="0" fontId="16" fillId="28" borderId="20" pivotButton="0" quotePrefix="0" xfId="0"/>
    <xf numFmtId="167" fontId="14" fillId="3" borderId="18" pivotButton="0" quotePrefix="0" xfId="0"/>
    <xf numFmtId="49" fontId="11" fillId="3" borderId="15" pivotButton="0" quotePrefix="0" xfId="0"/>
    <xf numFmtId="171" fontId="11" fillId="3" borderId="14" pivotButton="0" quotePrefix="0" xfId="0"/>
    <xf numFmtId="171" fontId="11" fillId="3" borderId="15" pivotButton="0" quotePrefix="0" xfId="0"/>
    <xf numFmtId="171" fontId="13" fillId="3" borderId="15" pivotButton="0" quotePrefix="0" xfId="0"/>
    <xf numFmtId="49" fontId="11" fillId="3" borderId="28" applyAlignment="1" pivotButton="0" quotePrefix="0" xfId="0">
      <alignment horizontal="right"/>
    </xf>
    <xf numFmtId="0" fontId="11" fillId="11" borderId="20" applyAlignment="1" pivotButton="0" quotePrefix="0" xfId="0">
      <alignment horizontal="left"/>
    </xf>
    <xf numFmtId="0" fontId="13" fillId="3" borderId="15" pivotButton="0" quotePrefix="0" xfId="0"/>
    <xf numFmtId="167" fontId="11" fillId="19" borderId="20" applyAlignment="1" pivotButton="0" quotePrefix="0" xfId="0">
      <alignment horizontal="right"/>
    </xf>
    <xf numFmtId="167" fontId="11" fillId="39" borderId="20" pivotButton="0" quotePrefix="0" xfId="0"/>
    <xf numFmtId="1" fontId="11" fillId="39" borderId="20" pivotButton="0" quotePrefix="0" xfId="0"/>
    <xf numFmtId="0" fontId="0" fillId="0" borderId="15" pivotButton="0" quotePrefix="0" xfId="0"/>
    <xf numFmtId="169" fontId="0" fillId="0" borderId="15" pivotButton="0" quotePrefix="0" xfId="0"/>
    <xf numFmtId="0" fontId="0" fillId="0" borderId="29" pivotButton="0" quotePrefix="0" xfId="0"/>
    <xf numFmtId="49" fontId="11" fillId="40" borderId="20" pivotButton="0" quotePrefix="0" xfId="0"/>
    <xf numFmtId="49" fontId="0" fillId="0" borderId="30" pivotButton="0" quotePrefix="0" xfId="0"/>
    <xf numFmtId="0" fontId="0" fillId="3" borderId="30" pivotButton="0" quotePrefix="0" xfId="0"/>
    <xf numFmtId="4" fontId="0" fillId="3" borderId="30" pivotButton="0" quotePrefix="0" xfId="0"/>
    <xf numFmtId="49" fontId="0" fillId="0" borderId="31" pivotButton="0" quotePrefix="0" xfId="0"/>
    <xf numFmtId="2" fontId="11" fillId="3" borderId="24" pivotButton="0" quotePrefix="0" xfId="0"/>
    <xf numFmtId="49" fontId="9" fillId="41" borderId="19" pivotButton="0" quotePrefix="0" xfId="0"/>
    <xf numFmtId="0" fontId="9" fillId="41" borderId="20" pivotButton="0" quotePrefix="0" xfId="0"/>
    <xf numFmtId="0" fontId="10" fillId="41" borderId="20" pivotButton="0" quotePrefix="0" xfId="0"/>
    <xf numFmtId="49" fontId="0" fillId="9" borderId="19" pivotButton="0" quotePrefix="0" xfId="0"/>
    <xf numFmtId="0" fontId="0" fillId="9" borderId="20" pivotButton="0" quotePrefix="0" xfId="0"/>
    <xf numFmtId="167" fontId="11" fillId="9" borderId="20" pivotButton="0" quotePrefix="0" xfId="0"/>
    <xf numFmtId="171" fontId="11" fillId="9" borderId="20" pivotButton="0" quotePrefix="0" xfId="0"/>
    <xf numFmtId="0" fontId="11" fillId="9" borderId="20" pivotButton="0" quotePrefix="0" xfId="0"/>
    <xf numFmtId="49" fontId="17" fillId="3" borderId="15" pivotButton="0" quotePrefix="0" xfId="0"/>
    <xf numFmtId="49" fontId="0" fillId="3" borderId="15" applyAlignment="1" pivotButton="0" quotePrefix="0" xfId="0">
      <alignment horizontal="center"/>
    </xf>
    <xf numFmtId="171" fontId="11" fillId="42" borderId="20" pivotButton="0" quotePrefix="0" xfId="0"/>
    <xf numFmtId="167" fontId="11" fillId="42" borderId="20" pivotButton="0" quotePrefix="0" xfId="0"/>
    <xf numFmtId="0" fontId="11" fillId="19" borderId="20" pivotButton="0" quotePrefix="0" xfId="0"/>
    <xf numFmtId="0" fontId="11" fillId="42" borderId="20" pivotButton="0" quotePrefix="0" xfId="0"/>
    <xf numFmtId="49" fontId="0" fillId="3" borderId="27" applyAlignment="1" pivotButton="0" quotePrefix="0" xfId="0">
      <alignment horizontal="center"/>
    </xf>
    <xf numFmtId="172" fontId="11" fillId="42" borderId="20" pivotButton="0" quotePrefix="0" xfId="0"/>
    <xf numFmtId="0" fontId="0" fillId="3" borderId="32" pivotButton="0" quotePrefix="0" xfId="0"/>
    <xf numFmtId="167" fontId="0" fillId="3" borderId="24" applyAlignment="1" pivotButton="0" quotePrefix="0" xfId="0">
      <alignment horizontal="center"/>
    </xf>
    <xf numFmtId="2" fontId="11" fillId="19" borderId="20" pivotButton="0" quotePrefix="0" xfId="0"/>
    <xf numFmtId="167" fontId="11" fillId="3" borderId="24" pivotButton="0" quotePrefix="0" xfId="0"/>
    <xf numFmtId="167" fontId="11" fillId="3" borderId="15" pivotButton="0" quotePrefix="0" xfId="0"/>
    <xf numFmtId="49" fontId="0" fillId="7" borderId="19" pivotButton="0" quotePrefix="0" xfId="0"/>
    <xf numFmtId="0" fontId="0" fillId="3" borderId="18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171" fontId="0" fillId="3" borderId="15" applyAlignment="1" pivotButton="0" quotePrefix="0" xfId="0">
      <alignment horizontal="center"/>
    </xf>
    <xf numFmtId="49" fontId="11" fillId="3" borderId="15" applyAlignment="1" pivotButton="0" quotePrefix="0" xfId="0">
      <alignment horizontal="center"/>
    </xf>
    <xf numFmtId="49" fontId="15" fillId="7" borderId="19" pivotButton="0" quotePrefix="0" xfId="0"/>
    <xf numFmtId="0" fontId="15" fillId="3" borderId="18" pivotButton="0" quotePrefix="0" xfId="0"/>
    <xf numFmtId="0" fontId="15" fillId="3" borderId="15" pivotButton="0" quotePrefix="0" xfId="0"/>
    <xf numFmtId="49" fontId="13" fillId="3" borderId="27" pivotButton="0" quotePrefix="0" xfId="0"/>
    <xf numFmtId="167" fontId="13" fillId="3" borderId="14" pivotButton="0" quotePrefix="0" xfId="0"/>
    <xf numFmtId="171" fontId="11" fillId="42" borderId="33" pivotButton="0" quotePrefix="0" xfId="0"/>
    <xf numFmtId="171" fontId="11" fillId="42" borderId="34" pivotButton="0" quotePrefix="0" xfId="0"/>
    <xf numFmtId="0" fontId="0" fillId="3" borderId="35" pivotButton="0" quotePrefix="0" xfId="0"/>
    <xf numFmtId="49" fontId="0" fillId="3" borderId="19" pivotButton="0" quotePrefix="0" xfId="0"/>
    <xf numFmtId="165" fontId="11" fillId="43" borderId="20" pivotButton="0" quotePrefix="0" xfId="0"/>
    <xf numFmtId="0" fontId="11" fillId="3" borderId="20" pivotButton="0" quotePrefix="0" xfId="0"/>
    <xf numFmtId="0" fontId="0" fillId="3" borderId="36" pivotButton="0" quotePrefix="0" xfId="0"/>
    <xf numFmtId="0" fontId="0" fillId="3" borderId="27" pivotButton="0" quotePrefix="0" xfId="0"/>
    <xf numFmtId="49" fontId="9" fillId="44" borderId="19" pivotButton="0" quotePrefix="0" xfId="0"/>
    <xf numFmtId="0" fontId="0" fillId="44" borderId="20" pivotButton="0" quotePrefix="0" xfId="0"/>
    <xf numFmtId="167" fontId="0" fillId="3" borderId="24" pivotButton="0" quotePrefix="0" xfId="0"/>
    <xf numFmtId="49" fontId="11" fillId="3" borderId="28" pivotButton="0" quotePrefix="0" xfId="0"/>
    <xf numFmtId="1" fontId="11" fillId="42" borderId="20" applyAlignment="1" pivotButton="0" quotePrefix="0" xfId="0">
      <alignment horizontal="right"/>
    </xf>
    <xf numFmtId="49" fontId="11" fillId="3" borderId="32" applyAlignment="1" pivotButton="0" quotePrefix="0" xfId="0">
      <alignment horizontal="right"/>
    </xf>
    <xf numFmtId="0" fontId="0" fillId="42" borderId="20" pivotButton="0" quotePrefix="0" xfId="0"/>
    <xf numFmtId="167" fontId="13" fillId="3" borderId="18" pivotButton="0" quotePrefix="0" xfId="0"/>
    <xf numFmtId="165" fontId="13" fillId="3" borderId="15" pivotButton="0" quotePrefix="0" xfId="0"/>
    <xf numFmtId="2" fontId="11" fillId="19" borderId="20" applyAlignment="1" pivotButton="0" quotePrefix="0" xfId="0">
      <alignment horizontal="right"/>
    </xf>
    <xf numFmtId="167" fontId="15" fillId="3" borderId="15" pivotButton="0" quotePrefix="0" xfId="0"/>
    <xf numFmtId="0" fontId="10" fillId="3" borderId="15" pivotButton="0" quotePrefix="0" xfId="0"/>
    <xf numFmtId="0" fontId="11" fillId="3" borderId="15" pivotButton="0" quotePrefix="0" xfId="0"/>
    <xf numFmtId="2" fontId="11" fillId="3" borderId="24" applyAlignment="1" pivotButton="0" quotePrefix="0" xfId="0">
      <alignment horizontal="right"/>
    </xf>
    <xf numFmtId="173" fontId="13" fillId="3" borderId="15" pivotButton="0" quotePrefix="0" xfId="0"/>
    <xf numFmtId="167" fontId="13" fillId="3" borderId="15" pivotButton="0" quotePrefix="0" xfId="0"/>
    <xf numFmtId="49" fontId="18" fillId="3" borderId="15" pivotButton="0" quotePrefix="0" xfId="0"/>
    <xf numFmtId="167" fontId="11" fillId="3" borderId="15" applyAlignment="1" pivotButton="0" quotePrefix="0" xfId="0">
      <alignment horizontal="right"/>
    </xf>
    <xf numFmtId="4" fontId="0" fillId="0" borderId="0" pivotButton="0" quotePrefix="0" xfId="0"/>
    <xf numFmtId="0" fontId="0" fillId="0" borderId="37" pivotButton="1" quotePrefix="0" xfId="0"/>
    <xf numFmtId="0" fontId="0" fillId="0" borderId="38" pivotButton="1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165" fontId="0" fillId="45" borderId="0" applyAlignment="1" pivotButton="0" quotePrefix="0" xfId="0">
      <alignment horizontal="left"/>
    </xf>
    <xf numFmtId="164" fontId="0" fillId="45" borderId="0" applyAlignment="1" pivotButton="0" quotePrefix="0" xfId="0">
      <alignment horizontal="left"/>
    </xf>
    <xf numFmtId="0" fontId="9" fillId="45" borderId="0" pivotButton="0" quotePrefix="0" xfId="0"/>
    <xf numFmtId="173" fontId="0" fillId="0" borderId="0" pivotButton="0" quotePrefix="0" xfId="0"/>
    <xf numFmtId="2" fontId="0" fillId="0" borderId="0" pivotButton="0" quotePrefix="0" xfId="0"/>
    <xf numFmtId="0" fontId="12" fillId="0" borderId="0" pivotButton="0" quotePrefix="0" xfId="0"/>
    <xf numFmtId="0" fontId="9" fillId="46" borderId="0" pivotButton="0" quotePrefix="0" xfId="0"/>
    <xf numFmtId="0" fontId="11" fillId="0" borderId="0" pivotButton="0" quotePrefix="0" xfId="0"/>
    <xf numFmtId="1" fontId="9" fillId="46" borderId="0" pivotButton="0" quotePrefix="0" xfId="0"/>
    <xf numFmtId="0" fontId="0" fillId="47" borderId="0" pivotButton="0" quotePrefix="0" xfId="0"/>
    <xf numFmtId="0" fontId="11" fillId="47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1" fillId="47" borderId="0" pivotButton="0" quotePrefix="0" xfId="0"/>
    <xf numFmtId="0" fontId="0" fillId="48" borderId="0" pivotButton="0" quotePrefix="0" xfId="0"/>
    <xf numFmtId="0" fontId="21" fillId="48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20" fillId="0" borderId="0" pivotButton="0" quotePrefix="0" xfId="0"/>
    <xf numFmtId="0" fontId="11" fillId="48" borderId="0" pivotButton="0" quotePrefix="0" xfId="0"/>
    <xf numFmtId="0" fontId="0" fillId="49" borderId="0" pivotButton="0" quotePrefix="0" xfId="0"/>
    <xf numFmtId="0" fontId="11" fillId="49" borderId="0" pivotButton="0" quotePrefix="0" xfId="0"/>
    <xf numFmtId="0" fontId="2" fillId="30" borderId="26" pivotButton="0" quotePrefix="0" xfId="1"/>
    <xf numFmtId="0" fontId="2" fillId="21" borderId="26" applyAlignment="1" pivotButton="0" quotePrefix="0" xfId="1">
      <alignment horizontal="left"/>
    </xf>
    <xf numFmtId="0" fontId="2" fillId="27" borderId="26" applyAlignment="1" pivotButton="0" quotePrefix="0" xfId="1">
      <alignment horizontal="left"/>
    </xf>
    <xf numFmtId="0" fontId="2" fillId="18" borderId="26" applyAlignment="1" pivotButton="0" quotePrefix="0" xfId="1">
      <alignment horizontal="left"/>
    </xf>
    <xf numFmtId="0" fontId="2" fillId="50" borderId="26" applyAlignment="1" pivotButton="0" quotePrefix="0" xfId="1">
      <alignment horizontal="left"/>
    </xf>
    <xf numFmtId="0" fontId="2" fillId="5" borderId="26" applyAlignment="1" pivotButton="0" quotePrefix="0" xfId="1">
      <alignment horizontal="left"/>
    </xf>
    <xf numFmtId="0" fontId="19" fillId="0" borderId="26" pivotButton="0" quotePrefix="0" xfId="1"/>
    <xf numFmtId="2" fontId="2" fillId="27" borderId="26" pivotButton="0" quotePrefix="0" xfId="1"/>
    <xf numFmtId="2" fontId="2" fillId="24" borderId="26" pivotButton="0" quotePrefix="0" xfId="1"/>
    <xf numFmtId="2" fontId="2" fillId="21" borderId="26" applyAlignment="1" pivotButton="0" quotePrefix="0" xfId="1">
      <alignment horizontal="left"/>
    </xf>
    <xf numFmtId="2" fontId="2" fillId="18" borderId="26" applyAlignment="1" pivotButton="0" quotePrefix="0" xfId="1">
      <alignment horizontal="left"/>
    </xf>
    <xf numFmtId="2" fontId="2" fillId="50" borderId="26" applyAlignment="1" pivotButton="0" quotePrefix="0" xfId="1">
      <alignment horizontal="left"/>
    </xf>
    <xf numFmtId="2" fontId="2" fillId="5" borderId="26" applyAlignment="1" pivotButton="0" quotePrefix="0" xfId="1">
      <alignment horizontal="left"/>
    </xf>
    <xf numFmtId="0" fontId="2" fillId="27" borderId="26" pivotButton="0" quotePrefix="0" xfId="1"/>
    <xf numFmtId="0" fontId="2" fillId="24" borderId="26" pivotButton="0" quotePrefix="0" xfId="1"/>
    <xf numFmtId="165" fontId="2" fillId="21" borderId="26" applyAlignment="1" pivotButton="0" quotePrefix="0" xfId="1">
      <alignment horizontal="left"/>
    </xf>
    <xf numFmtId="165" fontId="2" fillId="18" borderId="26" applyAlignment="1" pivotButton="0" quotePrefix="0" xfId="1">
      <alignment horizontal="left"/>
    </xf>
    <xf numFmtId="165" fontId="2" fillId="50" borderId="26" applyAlignment="1" pivotButton="0" quotePrefix="0" xfId="1">
      <alignment horizontal="left"/>
    </xf>
    <xf numFmtId="165" fontId="2" fillId="5" borderId="26" applyAlignment="1" pivotButton="0" quotePrefix="0" xfId="1">
      <alignment horizontal="left"/>
    </xf>
    <xf numFmtId="2" fontId="2" fillId="18" borderId="26" pivotButton="0" quotePrefix="0" xfId="1"/>
    <xf numFmtId="0" fontId="2" fillId="18" borderId="26" pivotButton="0" quotePrefix="0" xfId="1"/>
    <xf numFmtId="0" fontId="2" fillId="2" borderId="26" pivotButton="0" quotePrefix="0" xfId="1"/>
    <xf numFmtId="165" fontId="2" fillId="25" borderId="26" pivotButton="0" quotePrefix="0" xfId="1"/>
    <xf numFmtId="165" fontId="2" fillId="20" borderId="26" pivotButton="0" quotePrefix="0" xfId="1"/>
    <xf numFmtId="0" fontId="2" fillId="20" borderId="26" pivotButton="0" quotePrefix="0" xfId="1"/>
    <xf numFmtId="0" fontId="2" fillId="0" borderId="26" pivotButton="0" quotePrefix="0" xfId="1"/>
    <xf numFmtId="0" fontId="2" fillId="21" borderId="26" pivotButton="0" quotePrefix="0" xfId="1"/>
    <xf numFmtId="0" fontId="2" fillId="50" borderId="26" pivotButton="0" quotePrefix="0" xfId="1"/>
    <xf numFmtId="0" fontId="2" fillId="5" borderId="26" pivotButton="0" quotePrefix="0" xfId="1"/>
    <xf numFmtId="4" fontId="2" fillId="21" borderId="26" pivotButton="0" quotePrefix="0" xfId="1"/>
    <xf numFmtId="0" fontId="1" fillId="2" borderId="26" pivotButton="0" quotePrefix="0" xfId="1"/>
    <xf numFmtId="0" fontId="2" fillId="3" borderId="26" pivotButton="0" quotePrefix="0" xfId="1"/>
    <xf numFmtId="164" fontId="2" fillId="3" borderId="26" pivotButton="0" quotePrefix="0" xfId="1"/>
    <xf numFmtId="164" fontId="2" fillId="2" borderId="26" pivotButton="0" quotePrefix="0" xfId="1"/>
    <xf numFmtId="164" fontId="2" fillId="27" borderId="26" applyAlignment="1" pivotButton="0" quotePrefix="0" xfId="1">
      <alignment horizontal="left"/>
    </xf>
    <xf numFmtId="0" fontId="2" fillId="12" borderId="26" pivotButton="0" quotePrefix="0" xfId="1"/>
    <xf numFmtId="164" fontId="2" fillId="12" borderId="26" pivotButton="0" quotePrefix="0" xfId="1"/>
    <xf numFmtId="164" fontId="8" fillId="27" borderId="26" applyAlignment="1" pivotButton="0" quotePrefix="0" xfId="1">
      <alignment horizontal="left"/>
    </xf>
    <xf numFmtId="165" fontId="2" fillId="12" borderId="26" pivotButton="0" quotePrefix="0" xfId="1"/>
    <xf numFmtId="165" fontId="2" fillId="2" borderId="26" pivotButton="0" quotePrefix="0" xfId="1"/>
    <xf numFmtId="165" fontId="2" fillId="27" borderId="26" applyAlignment="1" pivotButton="0" quotePrefix="0" xfId="1">
      <alignment horizontal="left"/>
    </xf>
    <xf numFmtId="0" fontId="2" fillId="13" borderId="26" pivotButton="0" quotePrefix="0" xfId="1"/>
    <xf numFmtId="164" fontId="2" fillId="13" borderId="26" pivotButton="0" quotePrefix="0" xfId="1"/>
    <xf numFmtId="165" fontId="2" fillId="13" borderId="26" pivotButton="0" quotePrefix="0" xfId="1"/>
    <xf numFmtId="0" fontId="2" fillId="14" borderId="26" pivotButton="0" quotePrefix="0" xfId="1"/>
    <xf numFmtId="164" fontId="2" fillId="14" borderId="26" pivotButton="0" quotePrefix="0" xfId="1"/>
    <xf numFmtId="165" fontId="2" fillId="14" borderId="26" pivotButton="0" quotePrefix="0" xfId="1"/>
    <xf numFmtId="165" fontId="2" fillId="3" borderId="26" pivotButton="0" quotePrefix="0" xfId="1"/>
    <xf numFmtId="165" fontId="2" fillId="3" borderId="26" applyAlignment="1" pivotButton="0" quotePrefix="0" xfId="1">
      <alignment horizontal="left"/>
    </xf>
    <xf numFmtId="0" fontId="22" fillId="0" borderId="0" pivotButton="0" quotePrefix="0" xfId="0"/>
    <xf numFmtId="0" fontId="23" fillId="0" borderId="0" pivotButton="0" quotePrefix="0" xfId="0"/>
    <xf numFmtId="0" fontId="24" fillId="51" borderId="0" pivotButton="0" quotePrefix="0" xfId="0"/>
    <xf numFmtId="0" fontId="0" fillId="51" borderId="0" pivotButton="0" quotePrefix="0" xfId="0"/>
    <xf numFmtId="1" fontId="0" fillId="0" borderId="0" pivotButton="0" quotePrefix="0" xfId="0"/>
    <xf numFmtId="0" fontId="11" fillId="52" borderId="0" pivotButton="0" quotePrefix="0" xfId="0"/>
    <xf numFmtId="2" fontId="11" fillId="0" borderId="0" pivotButton="0" quotePrefix="0" xfId="0"/>
    <xf numFmtId="2" fontId="11" fillId="52" borderId="0" pivotButton="0" quotePrefix="0" xfId="0"/>
    <xf numFmtId="1" fontId="11" fillId="52" borderId="0" pivotButton="0" quotePrefix="0" xfId="0"/>
    <xf numFmtId="0" fontId="25" fillId="0" borderId="0" pivotButton="0" quotePrefix="0" xfId="0"/>
    <xf numFmtId="0" fontId="26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0" fontId="27" fillId="0" borderId="0" pivotButton="0" quotePrefix="0" xfId="0"/>
    <xf numFmtId="165" fontId="20" fillId="52" borderId="0" pivotButton="0" quotePrefix="0" xfId="0"/>
    <xf numFmtId="0" fontId="0" fillId="52" borderId="0" pivotButton="0" quotePrefix="0" xfId="0"/>
    <xf numFmtId="165" fontId="0" fillId="52" borderId="0" pivotButton="0" quotePrefix="0" xfId="0"/>
    <xf numFmtId="174" fontId="0" fillId="52" borderId="0" pivotButton="0" quotePrefix="0" xfId="0"/>
    <xf numFmtId="175" fontId="0" fillId="52" borderId="0" pivotButton="0" quotePrefix="0" xfId="0"/>
    <xf numFmtId="0" fontId="28" fillId="52" borderId="0" pivotButton="0" quotePrefix="0" xfId="0"/>
    <xf numFmtId="0" fontId="29" fillId="0" borderId="0" pivotButton="0" quotePrefix="0" xfId="0"/>
    <xf numFmtId="167" fontId="2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1" fillId="53" borderId="0" pivotButton="0" quotePrefix="0" xfId="0"/>
    <xf numFmtId="0" fontId="34" fillId="0" borderId="0" pivotButton="0" quotePrefix="0" xfId="0"/>
    <xf numFmtId="0" fontId="36" fillId="0" borderId="0" pivotButton="0" quotePrefix="0" xfId="0"/>
    <xf numFmtId="0" fontId="20" fillId="53" borderId="0" pivotButton="0" quotePrefix="0" xfId="0"/>
    <xf numFmtId="164" fontId="20" fillId="53" borderId="0" pivotButton="0" quotePrefix="0" xfId="0"/>
    <xf numFmtId="0" fontId="11" fillId="0" borderId="49" pivotButton="0" quotePrefix="0" xfId="0"/>
    <xf numFmtId="0" fontId="0" fillId="0" borderId="49" pivotButton="0" quotePrefix="0" xfId="0"/>
    <xf numFmtId="0" fontId="0" fillId="0" borderId="50" pivotButton="0" quotePrefix="0" xfId="0"/>
    <xf numFmtId="2" fontId="0" fillId="0" borderId="50" pivotButton="0" quotePrefix="0" xfId="0"/>
    <xf numFmtId="164" fontId="20" fillId="53" borderId="50" pivotButton="0" quotePrefix="0" xfId="0"/>
    <xf numFmtId="176" fontId="0" fillId="0" borderId="50" pivotButton="0" quotePrefix="0" xfId="0"/>
    <xf numFmtId="0" fontId="0" fillId="0" borderId="51" pivotButton="0" quotePrefix="0" xfId="0"/>
    <xf numFmtId="2" fontId="0" fillId="0" borderId="51" pivotButton="0" quotePrefix="0" xfId="0"/>
    <xf numFmtId="164" fontId="20" fillId="53" borderId="51" pivotButton="0" quotePrefix="0" xfId="0"/>
    <xf numFmtId="176" fontId="0" fillId="0" borderId="51" pivotButton="0" quotePrefix="0" xfId="0"/>
    <xf numFmtId="0" fontId="9" fillId="54" borderId="53" pivotButton="0" quotePrefix="0" xfId="0"/>
    <xf numFmtId="0" fontId="9" fillId="54" borderId="54" pivotButton="0" quotePrefix="0" xfId="0"/>
    <xf numFmtId="0" fontId="11" fillId="0" borderId="55" pivotButton="0" quotePrefix="0" xfId="0"/>
    <xf numFmtId="0" fontId="11" fillId="0" borderId="56" pivotButton="0" quotePrefix="0" xfId="0"/>
    <xf numFmtId="0" fontId="9" fillId="54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1" fillId="53" borderId="49" pivotButton="0" quotePrefix="0" xfId="0"/>
    <xf numFmtId="164" fontId="21" fillId="53" borderId="49" pivotButton="0" quotePrefix="0" xfId="0"/>
    <xf numFmtId="1" fontId="21" fillId="53" borderId="49" pivotButton="0" quotePrefix="0" xfId="0"/>
    <xf numFmtId="0" fontId="33" fillId="0" borderId="49" pivotButton="0" quotePrefix="0" xfId="0"/>
    <xf numFmtId="2" fontId="11" fillId="0" borderId="49" pivotButton="0" quotePrefix="0" xfId="0"/>
    <xf numFmtId="0" fontId="35" fillId="0" borderId="49" pivotButton="0" quotePrefix="0" xfId="0"/>
    <xf numFmtId="176" fontId="35" fillId="0" borderId="49" pivotButton="0" quotePrefix="0" xfId="0"/>
    <xf numFmtId="177" fontId="11" fillId="0" borderId="49" pivotButton="0" quotePrefix="0" xfId="0"/>
    <xf numFmtId="0" fontId="11" fillId="0" borderId="52" pivotButton="0" quotePrefix="0" xfId="0"/>
    <xf numFmtId="0" fontId="33" fillId="0" borderId="60" pivotButton="0" quotePrefix="0" xfId="0"/>
    <xf numFmtId="0" fontId="0" fillId="0" borderId="60" pivotButton="0" quotePrefix="0" xfId="0"/>
    <xf numFmtId="0" fontId="11" fillId="55" borderId="0" pivotButton="0" quotePrefix="0" xfId="0"/>
    <xf numFmtId="0" fontId="0" fillId="55" borderId="0" pivotButton="0" quotePrefix="0" xfId="0"/>
    <xf numFmtId="165" fontId="20" fillId="53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25" fillId="56" borderId="0" pivotButton="0" quotePrefix="0" xfId="0"/>
    <xf numFmtId="0" fontId="25" fillId="49" borderId="0" pivotButton="0" quotePrefix="0" xfId="0"/>
    <xf numFmtId="0" fontId="25" fillId="53" borderId="0" pivotButton="0" quotePrefix="0" xfId="0"/>
    <xf numFmtId="0" fontId="25" fillId="48" borderId="0" pivotButton="0" quotePrefix="0" xfId="0"/>
    <xf numFmtId="0" fontId="25" fillId="57" borderId="0" pivotButton="0" quotePrefix="0" xfId="0"/>
    <xf numFmtId="0" fontId="11" fillId="58" borderId="0" pivotButton="0" quotePrefix="0" xfId="0"/>
    <xf numFmtId="0" fontId="0" fillId="58" borderId="0" pivotButton="0" quotePrefix="0" xfId="0"/>
    <xf numFmtId="0" fontId="0" fillId="56" borderId="0" pivotButton="0" quotePrefix="0" xfId="0"/>
    <xf numFmtId="0" fontId="11" fillId="56" borderId="0" pivotButton="0" quotePrefix="0" xfId="0"/>
    <xf numFmtId="0" fontId="0" fillId="53" borderId="0" pivotButton="0" quotePrefix="0" xfId="0"/>
    <xf numFmtId="0" fontId="11" fillId="53" borderId="0" pivotButton="0" quotePrefix="0" xfId="0"/>
    <xf numFmtId="0" fontId="0" fillId="57" borderId="0" pivotButton="0" quotePrefix="0" xfId="0"/>
    <xf numFmtId="0" fontId="0" fillId="59" borderId="0" applyAlignment="1" pivotButton="0" quotePrefix="0" xfId="0">
      <alignment horizontal="center"/>
    </xf>
    <xf numFmtId="165" fontId="20" fillId="60" borderId="0" pivotButton="0" quotePrefix="0" xfId="0"/>
    <xf numFmtId="165" fontId="0" fillId="48" borderId="0" pivotButton="0" quotePrefix="0" xfId="0"/>
    <xf numFmtId="0" fontId="25" fillId="61" borderId="0" pivotButton="0" quotePrefix="0" xfId="0"/>
    <xf numFmtId="0" fontId="25" fillId="62" borderId="0" pivotButton="0" quotePrefix="0" xfId="0"/>
    <xf numFmtId="0" fontId="25" fillId="63" borderId="0" pivotButton="0" quotePrefix="0" xfId="0"/>
    <xf numFmtId="0" fontId="25" fillId="64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11" fillId="59" borderId="0" applyAlignment="1" pivotButton="0" quotePrefix="0" xfId="0">
      <alignment horizontal="center"/>
    </xf>
    <xf numFmtId="165" fontId="0" fillId="56" borderId="0" pivotButton="0" quotePrefix="0" xfId="0"/>
    <xf numFmtId="164" fontId="0" fillId="56" borderId="0" pivotButton="0" quotePrefix="0" xfId="0"/>
    <xf numFmtId="164" fontId="0" fillId="49" borderId="0" pivotButton="0" quotePrefix="0" xfId="0"/>
    <xf numFmtId="165" fontId="0" fillId="49" borderId="0" pivotButton="0" quotePrefix="0" xfId="0"/>
    <xf numFmtId="0" fontId="0" fillId="0" borderId="0" applyAlignment="1" pivotButton="0" quotePrefix="0" xfId="0">
      <alignment horizontal="center"/>
    </xf>
    <xf numFmtId="0" fontId="32" fillId="53" borderId="0" applyAlignment="1" pivotButton="0" quotePrefix="0" xfId="0">
      <alignment horizontal="center"/>
    </xf>
    <xf numFmtId="0" fontId="39" fillId="53" borderId="0" applyAlignment="1" pivotButton="0" quotePrefix="0" xfId="0">
      <alignment horizontal="center"/>
    </xf>
    <xf numFmtId="0" fontId="41" fillId="53" borderId="0" applyAlignment="1" pivotButton="0" quotePrefix="0" xfId="0">
      <alignment horizontal="center"/>
    </xf>
    <xf numFmtId="0" fontId="43" fillId="53" borderId="0" applyAlignment="1" pivotButton="0" quotePrefix="0" xfId="0">
      <alignment horizontal="center"/>
    </xf>
    <xf numFmtId="165" fontId="0" fillId="65" borderId="0" pivotButton="0" quotePrefix="0" xfId="0"/>
    <xf numFmtId="0" fontId="0" fillId="62" borderId="0" pivotButton="0" quotePrefix="0" xfId="0"/>
    <xf numFmtId="0" fontId="36" fillId="45" borderId="0" pivotButton="0" quotePrefix="0" xfId="0"/>
    <xf numFmtId="0" fontId="11" fillId="0" borderId="0" applyAlignment="1" pivotButton="0" quotePrefix="0" xfId="0">
      <alignment horizontal="center"/>
    </xf>
    <xf numFmtId="0" fontId="11" fillId="66" borderId="0" applyAlignment="1" pivotButton="0" quotePrefix="0" xfId="0">
      <alignment horizontal="center"/>
    </xf>
    <xf numFmtId="0" fontId="0" fillId="66" borderId="0" applyAlignment="1" pivotButton="0" quotePrefix="0" xfId="0">
      <alignment horizontal="center"/>
    </xf>
    <xf numFmtId="164" fontId="20" fillId="0" borderId="0" pivotButton="0" quotePrefix="0" xfId="0"/>
    <xf numFmtId="0" fontId="33" fillId="66" borderId="0" pivotButton="0" quotePrefix="0" xfId="0"/>
    <xf numFmtId="0" fontId="45" fillId="66" borderId="0" pivotButton="0" quotePrefix="0" xfId="0"/>
    <xf numFmtId="0" fontId="25" fillId="67" borderId="0" pivotButton="0" quotePrefix="0" xfId="0"/>
    <xf numFmtId="0" fontId="46" fillId="0" borderId="0" pivotButton="0" quotePrefix="0" xfId="0"/>
    <xf numFmtId="165" fontId="0" fillId="67" borderId="0" pivotButton="0" quotePrefix="0" xfId="0"/>
    <xf numFmtId="0" fontId="0" fillId="67" borderId="0" pivotButton="0" quotePrefix="0" xfId="0"/>
    <xf numFmtId="0" fontId="47" fillId="67" borderId="0" pivotButton="0" quotePrefix="0" xfId="0"/>
    <xf numFmtId="165" fontId="0" fillId="61" borderId="0" pivotButton="0" quotePrefix="0" xfId="0"/>
    <xf numFmtId="0" fontId="0" fillId="61" borderId="0" pivotButton="0" quotePrefix="0" xfId="0"/>
    <xf numFmtId="0" fontId="47" fillId="61" borderId="0" pivotButton="0" quotePrefix="0" xfId="0"/>
    <xf numFmtId="167" fontId="0" fillId="0" borderId="0" pivotButton="0" quotePrefix="0" xfId="0"/>
    <xf numFmtId="167" fontId="0" fillId="57" borderId="0" pivotButton="0" quotePrefix="0" xfId="0"/>
    <xf numFmtId="165" fontId="0" fillId="57" borderId="0" pivotButton="0" quotePrefix="0" xfId="0"/>
    <xf numFmtId="178" fontId="0" fillId="57" borderId="0" pivotButton="0" quotePrefix="0" xfId="0"/>
    <xf numFmtId="0" fontId="11" fillId="68" borderId="0" pivotButton="0" quotePrefix="0" xfId="0"/>
    <xf numFmtId="0" fontId="11" fillId="69" borderId="0" pivotButton="0" quotePrefix="0" xfId="0"/>
    <xf numFmtId="0" fontId="46" fillId="59" borderId="0" applyAlignment="1" pivotButton="0" quotePrefix="0" xfId="0">
      <alignment horizontal="center"/>
    </xf>
    <xf numFmtId="0" fontId="47" fillId="0" borderId="0" pivotButton="0" quotePrefix="0" xfId="0"/>
    <xf numFmtId="0" fontId="0" fillId="68" borderId="0" pivotButton="0" quotePrefix="0" xfId="0"/>
    <xf numFmtId="165" fontId="0" fillId="68" borderId="0" pivotButton="0" quotePrefix="0" xfId="0"/>
    <xf numFmtId="0" fontId="0" fillId="69" borderId="0" pivotButton="0" quotePrefix="0" xfId="0"/>
    <xf numFmtId="165" fontId="0" fillId="69" borderId="0" pivotButton="0" quotePrefix="0" xfId="0"/>
    <xf numFmtId="0" fontId="35" fillId="67" borderId="0" pivotButton="0" quotePrefix="0" xfId="0"/>
    <xf numFmtId="0" fontId="48" fillId="0" borderId="0" pivotButton="0" quotePrefix="0" xfId="0"/>
    <xf numFmtId="3" fontId="0" fillId="0" borderId="0" pivotButton="0" quotePrefix="0" xfId="0"/>
    <xf numFmtId="0" fontId="35" fillId="57" borderId="0" pivotButton="0" quotePrefix="0" xfId="0"/>
    <xf numFmtId="0" fontId="49" fillId="49" borderId="0" pivotButton="0" quotePrefix="0" xfId="0"/>
    <xf numFmtId="2" fontId="0" fillId="52" borderId="0" pivotButton="0" quotePrefix="0" xfId="0"/>
    <xf numFmtId="164" fontId="0" fillId="52" borderId="0" pivotButton="0" quotePrefix="0" xfId="0"/>
    <xf numFmtId="0" fontId="35" fillId="62" borderId="0" pivotButton="0" quotePrefix="0" xfId="0"/>
    <xf numFmtId="0" fontId="35" fillId="64" borderId="0" pivotButton="0" quotePrefix="0" xfId="0"/>
    <xf numFmtId="0" fontId="50" fillId="0" borderId="0" pivotButton="0" quotePrefix="0" xfId="0"/>
    <xf numFmtId="0" fontId="11" fillId="49" borderId="0" applyAlignment="1" pivotButton="0" quotePrefix="0" xfId="0">
      <alignment wrapText="1"/>
    </xf>
    <xf numFmtId="0" fontId="49" fillId="49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48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1" fontId="0" fillId="52" borderId="0" pivotButton="0" quotePrefix="0" xfId="0"/>
    <xf numFmtId="0" fontId="11" fillId="0" borderId="0" applyAlignment="1" pivotButton="0" quotePrefix="0" xfId="0">
      <alignment wrapText="1"/>
    </xf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20" fillId="53" borderId="0" pivotButton="0" quotePrefix="0" xfId="0"/>
    <xf numFmtId="0" fontId="11" fillId="67" borderId="0" applyAlignment="1" pivotButton="0" quotePrefix="0" xfId="0">
      <alignment horizontal="center"/>
    </xf>
    <xf numFmtId="0" fontId="11" fillId="53" borderId="0" applyAlignment="1" pivotButton="0" quotePrefix="0" xfId="0">
      <alignment horizontal="center"/>
    </xf>
    <xf numFmtId="0" fontId="11" fillId="70" borderId="0" pivotButton="0" quotePrefix="0" xfId="0"/>
    <xf numFmtId="0" fontId="11" fillId="70" borderId="0" applyAlignment="1" pivotButton="0" quotePrefix="0" xfId="0">
      <alignment horizontal="center"/>
    </xf>
    <xf numFmtId="0" fontId="51" fillId="48" borderId="0" pivotButton="0" quotePrefix="0" xfId="0"/>
    <xf numFmtId="0" fontId="51" fillId="53" borderId="0" pivotButton="0" quotePrefix="0" xfId="0"/>
    <xf numFmtId="0" fontId="51" fillId="70" borderId="0" pivotButton="0" quotePrefix="0" xfId="0"/>
    <xf numFmtId="165" fontId="0" fillId="53" borderId="0" pivotButton="0" quotePrefix="0" xfId="0"/>
    <xf numFmtId="0" fontId="0" fillId="70" borderId="0" pivotButton="0" quotePrefix="0" xfId="0"/>
    <xf numFmtId="0" fontId="37" fillId="0" borderId="0" pivotButton="0" quotePrefix="1" xfId="0"/>
    <xf numFmtId="0" fontId="38" fillId="0" borderId="0" pivotButton="0" quotePrefix="1" xfId="0"/>
    <xf numFmtId="0" fontId="52" fillId="0" borderId="0" pivotButton="0" quotePrefix="0" xfId="0"/>
    <xf numFmtId="0" fontId="35" fillId="48" borderId="0" pivotButton="0" quotePrefix="0" xfId="0"/>
    <xf numFmtId="0" fontId="53" fillId="0" borderId="0" pivotButton="0" quotePrefix="0" xfId="0"/>
    <xf numFmtId="168" fontId="0" fillId="0" borderId="0" pivotButton="0" quotePrefix="0" xfId="0"/>
    <xf numFmtId="16" fontId="0" fillId="0" borderId="0" pivotButton="0" quotePrefix="0" xfId="0"/>
    <xf numFmtId="16" fontId="20" fillId="53" borderId="0" pivotButton="0" quotePrefix="0" xfId="0"/>
    <xf numFmtId="168" fontId="11" fillId="0" borderId="0" pivotButton="0" quotePrefix="0" xfId="0"/>
    <xf numFmtId="0" fontId="11" fillId="57" borderId="0" pivotButton="0" quotePrefix="0" xfId="0"/>
    <xf numFmtId="0" fontId="35" fillId="53" borderId="0" pivotButton="0" quotePrefix="0" xfId="0"/>
    <xf numFmtId="0" fontId="11" fillId="65" borderId="0" pivotButton="0" quotePrefix="0" xfId="0"/>
    <xf numFmtId="178" fontId="20" fillId="53" borderId="0" pivotButton="0" quotePrefix="0" xfId="0"/>
    <xf numFmtId="179" fontId="0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167" fontId="0" fillId="52" borderId="0" pivotButton="0" quotePrefix="0" xfId="0"/>
    <xf numFmtId="179" fontId="0" fillId="52" borderId="0" pivotButton="0" quotePrefix="0" xfId="0"/>
    <xf numFmtId="164" fontId="11" fillId="0" borderId="0" pivotButton="0" quotePrefix="0" xfId="0"/>
    <xf numFmtId="0" fontId="56" fillId="0" borderId="0" pivotButton="0" quotePrefix="0" xfId="0"/>
    <xf numFmtId="0" fontId="35" fillId="61" borderId="0" pivotButton="0" quotePrefix="0" xfId="0"/>
    <xf numFmtId="180" fontId="0" fillId="0" borderId="0" pivotButton="0" quotePrefix="0" xfId="0"/>
    <xf numFmtId="181" fontId="0" fillId="0" borderId="0" pivotButton="0" quotePrefix="0" xfId="0"/>
    <xf numFmtId="0" fontId="59" fillId="0" borderId="0" pivotButton="0" quotePrefix="0" xfId="0"/>
    <xf numFmtId="0" fontId="11" fillId="61" borderId="0" pivotButton="0" quotePrefix="0" xfId="0"/>
    <xf numFmtId="0" fontId="21" fillId="49" borderId="0" pivotButton="0" quotePrefix="0" xfId="0"/>
    <xf numFmtId="2" fontId="20" fillId="53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35" fillId="49" borderId="0" pivotButton="0" quotePrefix="0" xfId="0"/>
    <xf numFmtId="0" fontId="62" fillId="0" borderId="0" pivotButton="0" quotePrefix="0" xfId="0"/>
    <xf numFmtId="0" fontId="11" fillId="49" borderId="0" pivotButton="0" quotePrefix="1" xfId="0"/>
    <xf numFmtId="0" fontId="11" fillId="71" borderId="0" pivotButton="0" quotePrefix="0" xfId="0"/>
    <xf numFmtId="0" fontId="11" fillId="72" borderId="0" pivotButton="0" quotePrefix="0" xfId="0"/>
    <xf numFmtId="0" fontId="11" fillId="73" borderId="0" pivotButton="0" quotePrefix="0" xfId="0"/>
    <xf numFmtId="2" fontId="0" fillId="62" borderId="0" pivotButton="0" quotePrefix="0" xfId="0"/>
    <xf numFmtId="2" fontId="0" fillId="49" borderId="0" pivotButton="0" quotePrefix="0" xfId="0"/>
    <xf numFmtId="165" fontId="11" fillId="0" borderId="0" pivotButton="0" quotePrefix="0" xfId="0"/>
    <xf numFmtId="2" fontId="11" fillId="62" borderId="0" pivotButton="0" quotePrefix="0" xfId="0"/>
    <xf numFmtId="2" fontId="11" fillId="49" borderId="0" pivotButton="0" quotePrefix="0" xfId="0"/>
    <xf numFmtId="2" fontId="0" fillId="56" borderId="0" pivotButton="0" quotePrefix="0" xfId="0"/>
    <xf numFmtId="164" fontId="20" fillId="49" borderId="0" pivotButton="0" quotePrefix="0" xfId="0"/>
    <xf numFmtId="2" fontId="0" fillId="53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46" borderId="0" pivotButton="0" quotePrefix="0" xfId="0"/>
    <xf numFmtId="0" fontId="0" fillId="46" borderId="0" pivotButton="0" quotePrefix="0" xfId="0"/>
    <xf numFmtId="1" fontId="20" fillId="53" borderId="0" pivotButton="0" quotePrefix="0" xfId="0"/>
    <xf numFmtId="0" fontId="66" fillId="74" borderId="0" pivotButton="0" quotePrefix="0" xfId="0"/>
    <xf numFmtId="0" fontId="0" fillId="74" borderId="0" pivotButton="0" quotePrefix="0" xfId="0"/>
    <xf numFmtId="0" fontId="67" fillId="0" borderId="0" pivotButton="0" quotePrefix="0" xfId="0"/>
    <xf numFmtId="164" fontId="67" fillId="0" borderId="0" pivotButton="0" quotePrefix="0" xfId="0"/>
    <xf numFmtId="1" fontId="11" fillId="0" borderId="0" pivotButton="0" quotePrefix="0" xfId="0"/>
    <xf numFmtId="0" fontId="66" fillId="75" borderId="0" pivotButton="0" quotePrefix="0" xfId="0"/>
    <xf numFmtId="0" fontId="0" fillId="75" borderId="0" pivotButton="0" quotePrefix="0" xfId="0"/>
    <xf numFmtId="0" fontId="66" fillId="76" borderId="0" pivotButton="0" quotePrefix="0" xfId="0"/>
    <xf numFmtId="0" fontId="0" fillId="76" borderId="0" pivotButton="0" quotePrefix="0" xfId="0"/>
    <xf numFmtId="0" fontId="66" fillId="77" borderId="0" pivotButton="0" quotePrefix="0" xfId="0"/>
    <xf numFmtId="0" fontId="0" fillId="77" borderId="0" pivotButton="0" quotePrefix="0" xfId="0"/>
    <xf numFmtId="0" fontId="66" fillId="78" borderId="0" pivotButton="0" quotePrefix="0" xfId="0"/>
    <xf numFmtId="0" fontId="0" fillId="78" borderId="0" pivotButton="0" quotePrefix="0" xfId="0"/>
    <xf numFmtId="0" fontId="66" fillId="79" borderId="0" pivotButton="0" quotePrefix="0" xfId="0"/>
    <xf numFmtId="0" fontId="0" fillId="79" borderId="0" pivotButton="0" quotePrefix="0" xfId="0"/>
    <xf numFmtId="0" fontId="35" fillId="0" borderId="0" pivotButton="0" quotePrefix="0" xfId="0"/>
    <xf numFmtId="0" fontId="35" fillId="80" borderId="0" pivotButton="0" quotePrefix="0" xfId="0"/>
    <xf numFmtId="179" fontId="68" fillId="49" borderId="0" pivotButton="0" quotePrefix="0" xfId="0"/>
    <xf numFmtId="0" fontId="69" fillId="0" borderId="0" pivotButton="0" quotePrefix="0" xfId="0"/>
    <xf numFmtId="0" fontId="71" fillId="47" borderId="0" pivotButton="0" quotePrefix="0" xfId="0"/>
    <xf numFmtId="0" fontId="70" fillId="0" borderId="0" pivotButton="0" quotePrefix="0" xfId="0"/>
    <xf numFmtId="0" fontId="0" fillId="0" borderId="0" pivotButton="0" quotePrefix="1" xfId="0"/>
    <xf numFmtId="0" fontId="72" fillId="0" borderId="0" pivotButton="0" quotePrefix="0" xfId="0"/>
    <xf numFmtId="179" fontId="73" fillId="49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66" fillId="81" borderId="0" pivotButton="0" quotePrefix="0" xfId="0"/>
    <xf numFmtId="0" fontId="0" fillId="81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11" fillId="82" borderId="0" pivotButton="0" quotePrefix="0" xfId="0"/>
    <xf numFmtId="3" fontId="21" fillId="53" borderId="0" pivotButton="0" quotePrefix="0" xfId="0"/>
    <xf numFmtId="0" fontId="76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0" fontId="35" fillId="63" borderId="0" pivotButton="0" quotePrefix="0" xfId="0"/>
    <xf numFmtId="11" fontId="20" fillId="53" borderId="0" pivotButton="0" quotePrefix="0" xfId="0"/>
    <xf numFmtId="178" fontId="0" fillId="0" borderId="0" pivotButton="0" quotePrefix="0" xfId="0"/>
    <xf numFmtId="184" fontId="0" fillId="0" borderId="0" pivotButton="0" quotePrefix="0" xfId="0"/>
    <xf numFmtId="185" fontId="0" fillId="0" borderId="0" pivotButton="0" quotePrefix="0" xfId="0"/>
    <xf numFmtId="167" fontId="20" fillId="53" borderId="0" pivotButton="0" quotePrefix="0" xfId="0"/>
    <xf numFmtId="0" fontId="35" fillId="84" borderId="0" pivotButton="0" quotePrefix="0" xfId="0"/>
    <xf numFmtId="0" fontId="66" fillId="85" borderId="0" pivotButton="0" quotePrefix="0" xfId="0"/>
    <xf numFmtId="0" fontId="0" fillId="85" borderId="0" pivotButton="0" quotePrefix="0" xfId="0"/>
    <xf numFmtId="9" fontId="20" fillId="53" borderId="0" pivotButton="0" quotePrefix="0" xfId="0"/>
    <xf numFmtId="0" fontId="66" fillId="54" borderId="0" pivotButton="0" quotePrefix="0" xfId="0"/>
    <xf numFmtId="0" fontId="0" fillId="54" borderId="0" pivotButton="0" quotePrefix="0" xfId="0"/>
    <xf numFmtId="0" fontId="77" fillId="46" borderId="0" pivotButton="0" quotePrefix="0" xfId="0"/>
    <xf numFmtId="0" fontId="71" fillId="0" borderId="0" pivotButton="0" quotePrefix="0" xfId="0"/>
    <xf numFmtId="0" fontId="71" fillId="49" borderId="0" pivotButton="0" quotePrefix="0" xfId="0"/>
    <xf numFmtId="0" fontId="77" fillId="74" borderId="0" pivotButton="0" quotePrefix="0" xfId="0"/>
    <xf numFmtId="0" fontId="71" fillId="48" borderId="0" pivotButton="0" quotePrefix="0" xfId="0"/>
    <xf numFmtId="0" fontId="78" fillId="0" borderId="0" pivotButton="0" quotePrefix="0" xfId="0"/>
    <xf numFmtId="0" fontId="79" fillId="0" borderId="0" pivotButton="0" quotePrefix="0" xfId="0"/>
    <xf numFmtId="49" fontId="21" fillId="47" borderId="0" pivotButton="0" quotePrefix="0" xfId="0"/>
    <xf numFmtId="0" fontId="66" fillId="86" borderId="0" pivotButton="0" quotePrefix="0" xfId="0"/>
    <xf numFmtId="0" fontId="0" fillId="86" borderId="0" pivotButton="0" quotePrefix="0" xfId="0"/>
    <xf numFmtId="0" fontId="0" fillId="84" borderId="0" pivotButton="0" quotePrefix="0" xfId="0"/>
    <xf numFmtId="3" fontId="0" fillId="84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82" fillId="0" borderId="0" pivotButton="0" quotePrefix="0" xfId="0"/>
    <xf numFmtId="0" fontId="83" fillId="0" borderId="0" pivotButton="0" quotePrefix="0" xfId="0"/>
    <xf numFmtId="0" fontId="84" fillId="77" borderId="0" pivotButton="0" quotePrefix="0" xfId="0"/>
    <xf numFmtId="0" fontId="85" fillId="87" borderId="0" pivotButton="0" quotePrefix="0" xfId="0"/>
    <xf numFmtId="0" fontId="85" fillId="87" borderId="26" pivotButton="0" quotePrefix="0" xfId="1"/>
    <xf numFmtId="0" fontId="65" fillId="0" borderId="26" pivotButton="0" quotePrefix="0" xfId="1"/>
    <xf numFmtId="0" fontId="11" fillId="53" borderId="26" pivotButton="0" quotePrefix="0" xfId="1"/>
    <xf numFmtId="0" fontId="19" fillId="0" borderId="26" pivotButton="0" quotePrefix="1" xfId="1"/>
    <xf numFmtId="0" fontId="85" fillId="88" borderId="0" pivotButton="0" quotePrefix="0" xfId="0"/>
    <xf numFmtId="0" fontId="11" fillId="89" borderId="0" pivotButton="0" quotePrefix="0" xfId="0"/>
    <xf numFmtId="0" fontId="85" fillId="88" borderId="26" pivotButton="0" quotePrefix="0" xfId="1"/>
    <xf numFmtId="0" fontId="11" fillId="89" borderId="26" pivotButton="0" quotePrefix="0" xfId="1"/>
    <xf numFmtId="0" fontId="86" fillId="0" borderId="0" pivotButton="0" quotePrefix="0" xfId="0"/>
    <xf numFmtId="0" fontId="87" fillId="53" borderId="0" pivotButton="0" quotePrefix="0" xfId="0"/>
    <xf numFmtId="0" fontId="88" fillId="88" borderId="0" pivotButton="0" quotePrefix="0" xfId="0"/>
    <xf numFmtId="0" fontId="86" fillId="0" borderId="0" pivotButton="0" quotePrefix="1" xfId="0"/>
    <xf numFmtId="0" fontId="87" fillId="89" borderId="0" pivotButton="0" quotePrefix="0" xfId="0"/>
    <xf numFmtId="2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2" fontId="2" fillId="3" borderId="0" applyAlignment="1" pivotButton="0" quotePrefix="0" xfId="0">
      <alignment horizontal="left" vertical="center"/>
    </xf>
    <xf numFmtId="0" fontId="2" fillId="2" borderId="8" applyAlignment="1" pivotButton="0" quotePrefix="0" xfId="0">
      <alignment vertical="center" wrapText="1"/>
    </xf>
    <xf numFmtId="0" fontId="4" fillId="0" borderId="9" pivotButton="0" quotePrefix="0" xfId="0"/>
    <xf numFmtId="0" fontId="4" fillId="0" borderId="10" pivotButton="0" quotePrefix="0" xfId="0"/>
    <xf numFmtId="0" fontId="4" fillId="0" borderId="0" applyAlignment="1" pivotButton="0" quotePrefix="0" xfId="0">
      <alignment vertical="center" wrapText="1"/>
    </xf>
    <xf numFmtId="0" fontId="2" fillId="28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2" fillId="9" borderId="8" applyAlignment="1" pivotButton="0" quotePrefix="0" xfId="0">
      <alignment vertical="center" wrapText="1"/>
    </xf>
    <xf numFmtId="49" fontId="11" fillId="3" borderId="21" applyAlignment="1" pivotButton="0" quotePrefix="0" xfId="0">
      <alignment horizontal="center"/>
    </xf>
    <xf numFmtId="0" fontId="4" fillId="0" borderId="22" pivotButton="0" quotePrefix="0" xfId="0"/>
    <xf numFmtId="0" fontId="4" fillId="0" borderId="23" pivotButton="0" quotePrefix="0" xfId="0"/>
    <xf numFmtId="49" fontId="11" fillId="38" borderId="25" applyAlignment="1" pivotButton="0" quotePrefix="0" xfId="0">
      <alignment horizontal="center"/>
    </xf>
    <xf numFmtId="0" fontId="4" fillId="0" borderId="26" pivotButton="0" quotePrefix="0" xfId="0"/>
    <xf numFmtId="49" fontId="11" fillId="38" borderId="25" pivotButton="0" quotePrefix="0" xfId="0"/>
    <xf numFmtId="0" fontId="35" fillId="62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/>
    </xf>
    <xf numFmtId="0" fontId="35" fillId="64" borderId="0" applyAlignment="1" pivotButton="0" quotePrefix="0" xfId="0">
      <alignment horizontal="center" wrapText="1"/>
    </xf>
    <xf numFmtId="0" fontId="35" fillId="62" borderId="0" applyAlignment="1" pivotButton="0" quotePrefix="0" xfId="0">
      <alignment horizontal="center" wrapText="1"/>
    </xf>
    <xf numFmtId="0" fontId="0" fillId="0" borderId="37" pivotButton="0" quotePrefix="0" xfId="0"/>
    <xf numFmtId="0" fontId="0" fillId="0" borderId="43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26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24" fillId="83" borderId="0" applyAlignment="1" pivotButton="0" quotePrefix="0" xfId="0">
      <alignment horizontal="center"/>
    </xf>
    <xf numFmtId="0" fontId="89" fillId="0" borderId="0" applyAlignment="1" pivotButton="0" quotePrefix="0" xfId="0">
      <alignment vertical="top" wrapText="1"/>
    </xf>
    <xf numFmtId="0" fontId="85" fillId="87" borderId="0" applyAlignment="1" pivotButton="0" quotePrefix="0" xfId="0">
      <alignment horizontal="center"/>
    </xf>
    <xf numFmtId="0" fontId="85" fillId="88" borderId="0" applyAlignment="1" pivotButton="0" quotePrefix="0" xfId="0">
      <alignment horizontal="center"/>
    </xf>
    <xf numFmtId="0" fontId="85" fillId="87" borderId="26" applyAlignment="1" pivotButton="0" quotePrefix="0" xfId="0">
      <alignment horizontal="center"/>
    </xf>
    <xf numFmtId="0" fontId="85" fillId="88" borderId="26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tabSelected="1" workbookViewId="0">
      <pane ySplit="3" topLeftCell="A80" activePane="bottomLeft" state="frozen"/>
      <selection pane="bottomLeft" activeCell="A132" sqref="A132:B132"/>
    </sheetView>
  </sheetViews>
  <sheetFormatPr baseColWidth="8" defaultRowHeight="12.75"/>
  <cols>
    <col width="30.28515625" customWidth="1" style="817" min="1" max="1"/>
    <col width="39.5703125" bestFit="1" customWidth="1" style="817" min="2" max="2"/>
    <col width="50" bestFit="1" customWidth="1" style="817" min="3" max="3"/>
    <col width="51" bestFit="1" customWidth="1" style="817" min="4" max="4"/>
    <col width="25.7109375" bestFit="1" customWidth="1" style="817" min="5" max="5"/>
    <col width="8.140625" bestFit="1" customWidth="1" style="817" min="6" max="6"/>
    <col width="11.5703125" bestFit="1" customWidth="1" style="817" min="7" max="7"/>
    <col width="35.42578125" bestFit="1" customWidth="1" style="817" min="8" max="8"/>
  </cols>
  <sheetData>
    <row r="1" ht="18" customHeight="1" s="817">
      <c r="A1" s="470" t="inlineStr">
        <is>
          <t>Udu Drum Family — Dual Helmholtz Ceramic Pot Drum</t>
        </is>
      </c>
    </row>
    <row r="2">
      <c r="A2" s="734" t="inlineStr">
        <is>
          <t>Nigerian Igbo tradition · Slip cast or wheel thrown · Two openings = two Helmholtz bass tones · Idiophone + Aerophone hybrid</t>
        </is>
      </c>
    </row>
    <row r="4" ht="15" customHeight="1" s="817">
      <c r="A4" s="780" t="inlineStr">
        <is>
          <t>DESIGN INPUTS — Medium (Standard) Udu</t>
        </is>
      </c>
      <c r="B4" s="781" t="n"/>
      <c r="C4" s="781" t="n"/>
      <c r="D4" s="781" t="n"/>
      <c r="E4" s="781" t="n"/>
      <c r="F4" s="781" t="n"/>
    </row>
    <row r="5">
      <c r="A5" t="inlineStr">
        <is>
          <t>Body Diameter (in)</t>
        </is>
      </c>
      <c r="B5" s="565" t="n">
        <v>10</v>
      </c>
      <c r="C5" t="inlineStr">
        <is>
          <t>← Ovoid body widest point</t>
        </is>
      </c>
    </row>
    <row r="6">
      <c r="A6" t="inlineStr">
        <is>
          <t>Body Height (in)</t>
        </is>
      </c>
      <c r="B6" s="565" t="n">
        <v>12</v>
      </c>
    </row>
    <row r="7">
      <c r="A7" t="inlineStr">
        <is>
          <t>Wall Thickness (in)</t>
        </is>
      </c>
      <c r="B7" s="715" t="n">
        <v>0.3</v>
      </c>
      <c r="C7" t="inlineStr">
        <is>
          <t>← ~7-8mm; thicker = brighter tap, less bass</t>
        </is>
      </c>
    </row>
    <row r="8">
      <c r="A8" t="inlineStr">
        <is>
          <t>Mouth Diameter (in)</t>
        </is>
      </c>
      <c r="B8" s="565" t="n">
        <v>3</v>
      </c>
      <c r="C8" t="inlineStr">
        <is>
          <t>← Top opening; larger = higher Helmholtz tone</t>
        </is>
      </c>
    </row>
    <row r="9">
      <c r="A9" t="inlineStr">
        <is>
          <t>Side Hole Diameter (in)</t>
        </is>
      </c>
      <c r="B9" s="565" t="n">
        <v>2</v>
      </c>
      <c r="C9" t="inlineStr">
        <is>
          <t>← Slap hole; smaller = deeper bass pulse</t>
        </is>
      </c>
    </row>
    <row r="10">
      <c r="A10" t="inlineStr">
        <is>
          <t>Shape Factor</t>
        </is>
      </c>
      <c r="B10" s="715" t="n">
        <v>0.7</v>
      </c>
      <c r="C10" t="inlineStr">
        <is>
          <t>← 0.5=elongated, 0.7=ovoid, 0.9=spherical</t>
        </is>
      </c>
    </row>
    <row r="11">
      <c r="A11" t="inlineStr">
        <is>
          <t>Clay Body</t>
        </is>
      </c>
      <c r="B11" s="564" t="inlineStr">
        <is>
          <t>Cone 6 Stoneware</t>
        </is>
      </c>
    </row>
    <row r="12">
      <c r="A12" t="inlineStr">
        <is>
          <t>Shrinkage %</t>
        </is>
      </c>
      <c r="B12" s="782" t="n">
        <v>0.12</v>
      </c>
      <c r="C12" t="inlineStr">
        <is>
          <t>← Build oversized; shrinks to target after firing</t>
        </is>
      </c>
    </row>
    <row r="13">
      <c r="A13" t="inlineStr">
        <is>
          <t>Speed of Sound (in/s)</t>
        </is>
      </c>
      <c r="B13" s="662" t="n">
        <v>13510</v>
      </c>
      <c r="C13" t="inlineStr">
        <is>
          <t>← Air at ~68°F (20°C)</t>
        </is>
      </c>
    </row>
    <row r="15" ht="15" customHeight="1" s="817">
      <c r="A15" s="764" t="inlineStr">
        <is>
          <t>DUAL HELMHOLTZ RESONANCE — f = (c/2π) × √(A / (V × L_eff))</t>
        </is>
      </c>
      <c r="B15" s="765" t="n"/>
      <c r="C15" s="765" t="n"/>
      <c r="D15" s="765" t="n"/>
      <c r="E15" s="765" t="n"/>
      <c r="F15" s="765" t="n"/>
    </row>
    <row r="16">
      <c r="A16" t="inlineStr">
        <is>
          <t>Body Volume (in³)</t>
        </is>
      </c>
      <c r="B16" s="662">
        <f>PI()/6*B5^2*B6*B10</f>
        <v/>
      </c>
      <c r="C16" t="inlineStr">
        <is>
          <t>← = π/6 × D² × H × shape_factor</t>
        </is>
      </c>
    </row>
    <row r="17">
      <c r="A17" t="inlineStr">
        <is>
          <t>Mouth Area (in²)</t>
        </is>
      </c>
      <c r="B17" s="469">
        <f>PI()*(B8/2)^2</f>
        <v/>
      </c>
    </row>
    <row r="18">
      <c r="A18" t="inlineStr">
        <is>
          <t>Mouth L_eff (in)</t>
        </is>
      </c>
      <c r="B18" s="482">
        <f>B7+0.6*SQRT(B17/PI())</f>
        <v/>
      </c>
      <c r="C18" t="inlineStr">
        <is>
          <t>← wall + end correction</t>
        </is>
      </c>
    </row>
    <row r="19">
      <c r="A19" t="inlineStr">
        <is>
          <t>Mouth Helmholtz Freq (Hz)</t>
        </is>
      </c>
      <c r="B19" s="707">
        <f>(B13/(2*PI()))*SQRT(B17/(B16*B18))</f>
        <v/>
      </c>
    </row>
    <row r="20" ht="15.75" customHeight="1" s="817">
      <c r="A20" t="inlineStr">
        <is>
          <t>Mouth Nearest Note</t>
        </is>
      </c>
      <c r="B20" s="753">
        <f>CHOOSE(MOD(ROUND(12*LOG(B19/440,2)+69,0),12)+1,"C","C#","D","D#","E","F","F#","G","G#","A","A#","B")&amp;INT((ROUND(12*LOG(B19/440,2)+69,0))/12-1)</f>
        <v/>
      </c>
    </row>
    <row r="22">
      <c r="A22" t="inlineStr">
        <is>
          <t>Side Hole Area (in²)</t>
        </is>
      </c>
      <c r="B22" s="469">
        <f>PI()*(B9/2)^2</f>
        <v/>
      </c>
    </row>
    <row r="23">
      <c r="A23" t="inlineStr">
        <is>
          <t>Side Hole L_eff (in)</t>
        </is>
      </c>
      <c r="B23" s="482">
        <f>B7+0.6*SQRT(B22/PI())</f>
        <v/>
      </c>
    </row>
    <row r="24">
      <c r="A24" t="inlineStr">
        <is>
          <t>Side Hole Helmholtz Freq (Hz)</t>
        </is>
      </c>
      <c r="B24" s="707">
        <f>(B13/(2*PI()))*SQRT(B22/(B16*B23))</f>
        <v/>
      </c>
    </row>
    <row r="25" ht="15.75" customHeight="1" s="817">
      <c r="A25" t="inlineStr">
        <is>
          <t>Side Hole Nearest Note</t>
        </is>
      </c>
      <c r="B25" s="753">
        <f>CHOOSE(MOD(ROUND(12*LOG(B24/440,2)+69,0),12)+1,"C","C#","D","D#","E","F","F#","G","G#","A","A#","B")&amp;INT((ROUND(12*LOG(B24/440,2)+69,0))/12-1)</f>
        <v/>
      </c>
    </row>
    <row r="27">
      <c r="A27" t="inlineStr">
        <is>
          <t>Interval (semitones)</t>
        </is>
      </c>
      <c r="B27" s="481">
        <f>ROUND(12*LOG(B19/B24,2),1)</f>
        <v/>
      </c>
      <c r="C27" t="inlineStr">
        <is>
          <t>← Mouth is higher pitch; positive = mouth above side hole</t>
        </is>
      </c>
    </row>
    <row r="29" ht="15" customHeight="1" s="817">
      <c r="A29" s="743" t="inlineStr">
        <is>
          <t>UDU FAMILY — 4 Sizes + 2 Variants</t>
        </is>
      </c>
      <c r="B29" s="744" t="n"/>
      <c r="C29" s="744" t="n"/>
      <c r="D29" s="744" t="n"/>
      <c r="E29" s="744" t="n"/>
      <c r="F29" s="744" t="n"/>
      <c r="G29" s="744" t="n"/>
      <c r="H29" s="744" t="n"/>
    </row>
    <row r="30">
      <c r="A30" s="486" t="inlineStr">
        <is>
          <t>Model</t>
        </is>
      </c>
      <c r="B30" s="486" t="inlineStr">
        <is>
          <t>Diam (in)</t>
        </is>
      </c>
      <c r="C30" s="486" t="inlineStr">
        <is>
          <t>Height (in)</t>
        </is>
      </c>
      <c r="D30" s="486" t="inlineStr">
        <is>
          <t>Vol (in³)</t>
        </is>
      </c>
      <c r="E30" s="486" t="inlineStr">
        <is>
          <t>Mouth Hz</t>
        </is>
      </c>
      <c r="F30" s="486" t="inlineStr">
        <is>
          <t>Side Hz</t>
        </is>
      </c>
      <c r="G30" s="486" t="inlineStr">
        <is>
          <t>Bass Range</t>
        </is>
      </c>
      <c r="H30" s="486" t="inlineStr">
        <is>
          <t>Best For</t>
        </is>
      </c>
    </row>
    <row r="31">
      <c r="A31" t="inlineStr">
        <is>
          <t>Small (tabla-style)</t>
        </is>
      </c>
      <c r="B31" t="n">
        <v>8</v>
      </c>
      <c r="C31" t="n">
        <v>10</v>
      </c>
      <c r="D31" s="662" t="n">
        <v>235</v>
      </c>
      <c r="E31" t="inlineStr">
        <is>
          <t>D#4 (311)</t>
        </is>
      </c>
      <c r="F31" t="inlineStr">
        <is>
          <t>A3 (223)</t>
        </is>
      </c>
      <c r="G31" t="inlineStr">
        <is>
          <t>A3–D#4</t>
        </is>
      </c>
      <c r="H31" t="inlineStr">
        <is>
          <t>Tabletop, small venues, high tones</t>
        </is>
      </c>
    </row>
    <row r="32">
      <c r="A32" t="inlineStr">
        <is>
          <t>Medium (standard) ⭐</t>
        </is>
      </c>
      <c r="B32" t="n">
        <v>10</v>
      </c>
      <c r="C32" t="n">
        <v>12</v>
      </c>
      <c r="D32" s="662" t="n">
        <v>440</v>
      </c>
      <c r="E32" t="inlineStr">
        <is>
          <t>B3 (249)</t>
        </is>
      </c>
      <c r="F32" t="inlineStr">
        <is>
          <t>G3 (192)</t>
        </is>
      </c>
      <c r="G32" t="inlineStr">
        <is>
          <t>G3–B3</t>
        </is>
      </c>
      <c r="H32" t="inlineStr">
        <is>
          <t>Most versatile; the classic Udu size</t>
        </is>
      </c>
    </row>
    <row r="33">
      <c r="A33" t="inlineStr">
        <is>
          <t>Large (Nigerian)</t>
        </is>
      </c>
      <c r="B33" t="n">
        <v>12</v>
      </c>
      <c r="C33" t="n">
        <v>14</v>
      </c>
      <c r="D33" s="662" t="n">
        <v>739</v>
      </c>
      <c r="E33" t="inlineStr">
        <is>
          <t>G#3 (207)</t>
        </is>
      </c>
      <c r="F33" t="inlineStr">
        <is>
          <t>D3 (144)</t>
        </is>
      </c>
      <c r="G33" t="inlineStr">
        <is>
          <t>D3–G#3</t>
        </is>
      </c>
      <c r="H33" t="inlineStr">
        <is>
          <t>Deep bass; traditional ceremonial size</t>
        </is>
      </c>
    </row>
    <row r="34">
      <c r="A34" t="inlineStr">
        <is>
          <t>XL (concert bass)</t>
        </is>
      </c>
      <c r="B34" t="n">
        <v>14</v>
      </c>
      <c r="C34" t="n">
        <v>16</v>
      </c>
      <c r="D34" s="662" t="n">
        <v>1149</v>
      </c>
      <c r="E34" t="inlineStr">
        <is>
          <t>F3 (178)</t>
        </is>
      </c>
      <c r="F34" t="inlineStr">
        <is>
          <t>C3 (131)</t>
        </is>
      </c>
      <c r="G34" t="inlineStr">
        <is>
          <t>C3–F3</t>
        </is>
      </c>
      <c r="H34" t="inlineStr">
        <is>
          <t>Sub-bass; orchestra/studio, needs stand</t>
        </is>
      </c>
    </row>
    <row r="36">
      <c r="A36" s="486" t="inlineStr">
        <is>
          <t>VARIANTS</t>
        </is>
      </c>
    </row>
    <row r="37">
      <c r="A37" t="inlineStr">
        <is>
          <t>Utar (dual-chamber)</t>
        </is>
      </c>
      <c r="B37" t="inlineStr">
        <is>
          <t>Two connected pots</t>
        </is>
      </c>
      <c r="C37" t="inlineStr">
        <is>
          <t>Narrow neck joins two chambers</t>
        </is>
      </c>
      <c r="D37" t="inlineStr">
        <is>
          <t>Two different Helmholtz tones per chamber</t>
        </is>
      </c>
      <c r="E37" t="inlineStr">
        <is>
          <t>F#3 + D4 (large)</t>
        </is>
      </c>
    </row>
    <row r="38">
      <c r="A38" t="inlineStr">
        <is>
          <t>Kim Kim (side hole)</t>
        </is>
      </c>
      <c r="B38" t="inlineStr">
        <is>
          <t>Spherical, side hole only</t>
        </is>
      </c>
      <c r="C38" t="inlineStr">
        <is>
          <t>No neck; just a round pot</t>
        </is>
      </c>
      <c r="D38" t="inlineStr">
        <is>
          <t>Simpler form, one dominant bass tone</t>
        </is>
      </c>
      <c r="E38" t="inlineStr">
        <is>
          <t>Igbo ceremonial</t>
        </is>
      </c>
    </row>
    <row r="39">
      <c r="A39" t="inlineStr">
        <is>
          <t>Claytone (LP style)</t>
        </is>
      </c>
      <c r="B39" t="inlineStr">
        <is>
          <t>Elongated with long neck</t>
        </is>
      </c>
      <c r="C39" t="inlineStr">
        <is>
          <t>14" tall, neck adds overtones</t>
        </is>
      </c>
      <c r="D39" t="inlineStr">
        <is>
          <t>Commercial; chrome/terracotta glaze</t>
        </is>
      </c>
      <c r="E39" t="inlineStr">
        <is>
          <t>LP Percussion</t>
        </is>
      </c>
    </row>
    <row r="40">
      <c r="A40" t="inlineStr">
        <is>
          <t>Udongo (Kenyan)</t>
        </is>
      </c>
      <c r="B40" t="inlineStr">
        <is>
          <t>Gourd-shaped</t>
        </is>
      </c>
      <c r="C40" t="inlineStr">
        <is>
          <t>Wider bottom, narrow top</t>
        </is>
      </c>
      <c r="D40" t="inlineStr">
        <is>
          <t>More body tap tones from thin walls</t>
        </is>
      </c>
      <c r="E40" t="inlineStr">
        <is>
          <t>East African</t>
        </is>
      </c>
    </row>
    <row r="41">
      <c r="A41" t="inlineStr">
        <is>
          <t>Water Udu</t>
        </is>
      </c>
      <c r="B41" t="inlineStr">
        <is>
          <t>Partially water-filled</t>
        </is>
      </c>
      <c r="C41" t="inlineStr">
        <is>
          <t>Water changes volume = pitch bend</t>
        </is>
      </c>
      <c r="D41" t="inlineStr">
        <is>
          <t>Pitch shifts as you tilt — like a talking drum</t>
        </is>
      </c>
      <c r="E41" t="inlineStr">
        <is>
          <t>Iranian Kuzeh</t>
        </is>
      </c>
    </row>
    <row r="43" ht="15" customHeight="1" s="817">
      <c r="A43" s="738" t="inlineStr">
        <is>
          <t>PLAYING TECHNIQUES — 5 Distinct Sounds from One Instrument</t>
        </is>
      </c>
      <c r="B43" s="739" t="n"/>
      <c r="C43" s="739" t="n"/>
      <c r="D43" s="739" t="n"/>
      <c r="E43" s="739" t="n"/>
      <c r="F43" s="739" t="n"/>
    </row>
    <row r="44">
      <c r="A44" s="484" t="inlineStr">
        <is>
          <t>Technique</t>
        </is>
      </c>
      <c r="B44" s="484" t="inlineStr">
        <is>
          <t>Action</t>
        </is>
      </c>
      <c r="C44" s="484" t="inlineStr">
        <is>
          <t>Sound</t>
        </is>
      </c>
      <c r="D44" s="484" t="inlineStr">
        <is>
          <t>Physics</t>
        </is>
      </c>
      <c r="E44" s="484" t="inlineStr">
        <is>
          <t>Pitch Range</t>
        </is>
      </c>
    </row>
    <row r="45">
      <c r="A45" t="inlineStr">
        <is>
          <t>1. Mouth Slap (bass)</t>
        </is>
      </c>
      <c r="B45" t="inlineStr">
        <is>
          <t>Cup palm over mouth, slap and seal</t>
        </is>
      </c>
      <c r="C45" t="inlineStr">
        <is>
          <t>Deep "doom" — the signature Udu bass</t>
        </is>
      </c>
      <c r="D45" t="inlineStr">
        <is>
          <t>Helmholtz resonance of full cavity via mouth</t>
        </is>
      </c>
      <c r="E45" t="inlineStr">
        <is>
          <t>B3 (formula-calculated)</t>
        </is>
      </c>
    </row>
    <row r="46">
      <c r="A46" t="inlineStr">
        <is>
          <t>2. Side Hole Pop</t>
        </is>
      </c>
      <c r="B46" t="inlineStr">
        <is>
          <t>Slap side hole with cupped hand, release</t>
        </is>
      </c>
      <c r="C46" t="inlineStr">
        <is>
          <t>"Plop" or "whoop" — pitch bends on release</t>
        </is>
      </c>
      <c r="D46" t="inlineStr">
        <is>
          <t>Helmholtz via smaller side opening</t>
        </is>
      </c>
      <c r="E46" t="inlineStr">
        <is>
          <t>G3 (formula-calculated)</t>
        </is>
      </c>
    </row>
    <row r="47">
      <c r="A47" t="inlineStr">
        <is>
          <t>3. Body Tap (ceramic)</t>
        </is>
      </c>
      <c r="B47" t="inlineStr">
        <is>
          <t>Tap body surface with fingertips or knuckles</t>
        </is>
      </c>
      <c r="C47" t="inlineStr">
        <is>
          <t>Bright "tick" or "tock" — like a woodblock</t>
        </is>
      </c>
      <c r="D47" t="inlineStr">
        <is>
          <t>Shell vibration (idiophone); thinner wall = louder</t>
        </is>
      </c>
      <c r="E47" t="inlineStr">
        <is>
          <t>High (500-2000 Hz)</t>
        </is>
      </c>
    </row>
    <row r="48">
      <c r="A48" t="inlineStr">
        <is>
          <t>4. Mouth Wah</t>
        </is>
      </c>
      <c r="B48" t="inlineStr">
        <is>
          <t>Slap mouth then slowly open/close hand</t>
        </is>
      </c>
      <c r="C48" t="inlineStr">
        <is>
          <t>Pitch bends up as hand opens — "wah-wah"</t>
        </is>
      </c>
      <c r="D48" t="inlineStr">
        <is>
          <t>Changing effective neck area in real time</t>
        </is>
      </c>
      <c r="E48" t="inlineStr">
        <is>
          <t>G3→B3 sweep</t>
        </is>
      </c>
    </row>
    <row r="49">
      <c r="A49" t="inlineStr">
        <is>
          <t>5. Rim Roll</t>
        </is>
      </c>
      <c r="B49" t="inlineStr">
        <is>
          <t>Roll fingers rapidly around mouth rim</t>
        </is>
      </c>
      <c r="C49" t="inlineStr">
        <is>
          <t>Sustained resonant hum</t>
        </is>
      </c>
      <c r="D49" t="inlineStr">
        <is>
          <t>Exciting Helmholtz mode continuously</t>
        </is>
      </c>
      <c r="E49" t="inlineStr">
        <is>
          <t>At Helmholtz freq</t>
        </is>
      </c>
    </row>
    <row r="51" ht="15" customHeight="1" s="817">
      <c r="A51" s="735" t="inlineStr">
        <is>
          <t>CERAMIC PRODUCTION — Slip Cast or Wheel Thrown</t>
        </is>
      </c>
      <c r="B51" s="736" t="n"/>
      <c r="C51" s="736" t="n"/>
      <c r="D51" s="736" t="n"/>
      <c r="E51" s="736" t="n"/>
      <c r="F51" s="736" t="n"/>
    </row>
    <row r="52">
      <c r="A52" s="475" t="inlineStr">
        <is>
          <t>#</t>
        </is>
      </c>
      <c r="B52" s="475" t="inlineStr">
        <is>
          <t>Method</t>
        </is>
      </c>
      <c r="C52" s="475" t="inlineStr">
        <is>
          <t>Pros</t>
        </is>
      </c>
      <c r="D52" s="475" t="inlineStr">
        <is>
          <t>Cons</t>
        </is>
      </c>
      <c r="E52" s="475" t="inlineStr">
        <is>
          <t>Tony Feasibility</t>
        </is>
      </c>
    </row>
    <row r="53">
      <c r="A53" t="inlineStr">
        <is>
          <t>A</t>
        </is>
      </c>
      <c r="B53" t="inlineStr">
        <is>
          <t>Slip Casting (3D print master → plaster mold)</t>
        </is>
      </c>
      <c r="C53" t="inlineStr">
        <is>
          <t>Repeatable volume = consistent pitch; production scale</t>
        </is>
      </c>
      <c r="D53" t="inlineStr">
        <is>
          <t>2-piece mold needed; seam to finish; setup investment</t>
        </is>
      </c>
      <c r="E53" t="inlineStr">
        <is>
          <t>⭐ Best for family production</t>
        </is>
      </c>
    </row>
    <row r="54">
      <c r="A54" t="inlineStr">
        <is>
          <t>B</t>
        </is>
      </c>
      <c r="B54" t="inlineStr">
        <is>
          <t>Wheel Throwing (traditional)</t>
        </is>
      </c>
      <c r="C54" t="inlineStr">
        <is>
          <t>Authentic; unique each piece; no mold needed</t>
        </is>
      </c>
      <c r="D54" t="inlineStr">
        <is>
          <t>Volume varies = pitch varies; skill intensive</t>
        </is>
      </c>
      <c r="E54" t="inlineStr">
        <is>
          <t>✅ If you have wheel access</t>
        </is>
      </c>
    </row>
    <row r="55">
      <c r="A55" t="inlineStr">
        <is>
          <t>C</t>
        </is>
      </c>
      <c r="B55" t="inlineStr">
        <is>
          <t>Press Molding (2-part plaster)</t>
        </is>
      </c>
      <c r="C55" t="inlineStr">
        <is>
          <t>Faster than slip; good volume control</t>
        </is>
      </c>
      <c r="D55" t="inlineStr">
        <is>
          <t>Slab thickness harder to control vs slip</t>
        </is>
      </c>
      <c r="E55" t="inlineStr">
        <is>
          <t>✅ Good middle ground</t>
        </is>
      </c>
    </row>
    <row r="56">
      <c r="A56" t="inlineStr">
        <is>
          <t>D</t>
        </is>
      </c>
      <c r="B56" t="inlineStr">
        <is>
          <t>Coil Building (hand)</t>
        </is>
      </c>
      <c r="C56" t="inlineStr">
        <is>
          <t>No equipment; most artistic freedom</t>
        </is>
      </c>
      <c r="D56" t="inlineStr">
        <is>
          <t>Slowest; least repeatable; cracks at coil joins</t>
        </is>
      </c>
      <c r="E56" t="inlineStr">
        <is>
          <t>⚠️ For one-offs only</t>
        </is>
      </c>
    </row>
    <row r="58">
      <c r="A58" s="475" t="inlineStr">
        <is>
          <t>SLIP CAST WORKFLOW (recommended for Udu family)</t>
        </is>
      </c>
    </row>
    <row r="59">
      <c r="A59" t="inlineStr">
        <is>
          <t>1. CAD the Udu profile in SolidWorks (use design inputs above; scale UP by 1/(1-shrinkage))</t>
        </is>
      </c>
    </row>
    <row r="60">
      <c r="A60" t="inlineStr">
        <is>
          <t>2. 3D print the master positive (2 halves split at equator, alignment pins)</t>
        </is>
      </c>
    </row>
    <row r="61">
      <c r="A61" t="inlineStr">
        <is>
          <t>3. Build plaster cottle (box) around each half, pour #1 Pottery Plaster, cure 24-48 hrs</t>
        </is>
      </c>
    </row>
    <row r="62">
      <c r="A62" t="inlineStr">
        <is>
          <t>4. Remove 3D print, dry mold 5-7 days. Mold = 2 halves that clamp together</t>
        </is>
      </c>
    </row>
    <row r="63">
      <c r="A63" t="inlineStr">
        <is>
          <t>5. Pour slip into assembled mold. Drain after target wall thickness builds (~7mm = 15-20 min)</t>
        </is>
      </c>
    </row>
    <row r="64">
      <c r="A64" t="inlineStr">
        <is>
          <t>6. Demold when leather-hard (~2 hrs). Clean seam with sponge + rib</t>
        </is>
      </c>
    </row>
    <row r="65">
      <c r="A65" t="inlineStr">
        <is>
          <t>7. Cut side hole with hole cutter while leather-hard. Smooth edges</t>
        </is>
      </c>
    </row>
    <row r="66">
      <c r="A66" t="inlineStr">
        <is>
          <t>8. Dry slowly (1-2 weeks under plastic, then uncovered). NO cracks allowed</t>
        </is>
      </c>
    </row>
    <row r="67">
      <c r="A67" t="inlineStr">
        <is>
          <t>9. Bisque fire to Cone 06 (~1830F). Test pitch — this is your tuning checkpoint</t>
        </is>
      </c>
    </row>
    <row r="68">
      <c r="A68" t="inlineStr">
        <is>
          <t>10. Tune: enlarge side hole to LOWER the Helmholtz bass (careful! can only remove material)</t>
        </is>
      </c>
    </row>
    <row r="69">
      <c r="A69" t="inlineStr">
        <is>
          <t>11. Glaze exterior (leave inside unglazed for better resonance). Fire to Cone 6 (2230F)</t>
        </is>
      </c>
    </row>
    <row r="70">
      <c r="A70" t="inlineStr">
        <is>
          <t>12. Final pitch check — glaze adds mass + stiffness, may shift pitch slightly</t>
        </is>
      </c>
    </row>
    <row r="72" ht="15" customHeight="1" s="817">
      <c r="A72" s="747" t="inlineStr">
        <is>
          <t>BILL OF MATERIALS</t>
        </is>
      </c>
      <c r="B72" s="748" t="n"/>
      <c r="C72" s="748" t="n"/>
      <c r="D72" s="748" t="n"/>
      <c r="E72" s="748" t="n"/>
    </row>
    <row r="73">
      <c r="A73" s="768" t="inlineStr">
        <is>
          <t>#</t>
        </is>
      </c>
      <c r="B73" s="768" t="inlineStr">
        <is>
          <t>Item</t>
        </is>
      </c>
      <c r="C73" s="768" t="inlineStr">
        <is>
          <t>Qty</t>
        </is>
      </c>
      <c r="D73" s="768" t="inlineStr">
        <is>
          <t>Spec</t>
        </is>
      </c>
      <c r="E73" s="768" t="inlineStr">
        <is>
          <t>Est. Cost</t>
        </is>
      </c>
    </row>
    <row r="74">
      <c r="A74" t="n">
        <v>1</v>
      </c>
      <c r="B74" t="inlineStr">
        <is>
          <t>Casting slip (Cone 6 stoneware)</t>
        </is>
      </c>
      <c r="C74" t="inlineStr">
        <is>
          <t>5 gal</t>
        </is>
      </c>
      <c r="D74" t="inlineStr">
        <is>
          <t>Commercial premixed; enough for 8-12 medium Udus</t>
        </is>
      </c>
      <c r="E74" s="564" t="inlineStr">
        <is>
          <t>$35-50</t>
        </is>
      </c>
    </row>
    <row r="75">
      <c r="A75" t="n">
        <v>2</v>
      </c>
      <c r="B75" t="inlineStr">
        <is>
          <t>#1 Pottery Plaster</t>
        </is>
      </c>
      <c r="C75" t="inlineStr">
        <is>
          <t>50 lbs</t>
        </is>
      </c>
      <c r="D75" t="inlineStr">
        <is>
          <t>For 2-part mold; 1 bag makes ~4 mold sets</t>
        </is>
      </c>
      <c r="E75" t="inlineStr">
        <is>
          <t>$25-35</t>
        </is>
      </c>
    </row>
    <row r="76">
      <c r="A76" t="n">
        <v>3</v>
      </c>
      <c r="B76" t="inlineStr">
        <is>
          <t>3D printed master (PLA)</t>
        </is>
      </c>
      <c r="C76" t="inlineStr">
        <is>
          <t>2 halves</t>
        </is>
      </c>
      <c r="D76" t="inlineStr">
        <is>
          <t>Scaled up by 1/(1-shrinkage); FDM fine, sand smooth</t>
        </is>
      </c>
      <c r="E76" t="inlineStr">
        <is>
          <t>$5-15</t>
        </is>
      </c>
    </row>
    <row r="77">
      <c r="A77" t="n">
        <v>4</v>
      </c>
      <c r="B77" t="inlineStr">
        <is>
          <t>Mold soap / release agent</t>
        </is>
      </c>
      <c r="C77" t="inlineStr">
        <is>
          <t>1 bottle</t>
        </is>
      </c>
      <c r="D77" t="inlineStr">
        <is>
          <t>Murphy's Oil Soap or commercial mold soap</t>
        </is>
      </c>
      <c r="E77" t="inlineStr">
        <is>
          <t>$8-12</t>
        </is>
      </c>
    </row>
    <row r="78">
      <c r="A78" t="n">
        <v>5</v>
      </c>
      <c r="B78" t="inlineStr">
        <is>
          <t>Hole cutter set</t>
        </is>
      </c>
      <c r="C78" t="inlineStr">
        <is>
          <t>1 set</t>
        </is>
      </c>
      <c r="D78" t="inlineStr">
        <is>
          <t>1.5", 2", 2.5", 3" round cutters for leather-hard clay</t>
        </is>
      </c>
      <c r="E78" t="inlineStr">
        <is>
          <t>$10-20</t>
        </is>
      </c>
    </row>
    <row r="79">
      <c r="A79" t="n">
        <v>6</v>
      </c>
      <c r="B79" t="inlineStr">
        <is>
          <t>Kiln firing (per load)</t>
        </is>
      </c>
      <c r="C79" t="inlineStr">
        <is>
          <t>2 fires</t>
        </is>
      </c>
      <c r="D79" t="inlineStr">
        <is>
          <t>Bisque Cone 06 + Glaze Cone 6; community kiln or own</t>
        </is>
      </c>
      <c r="E79" t="inlineStr">
        <is>
          <t>$20-50/fire</t>
        </is>
      </c>
    </row>
    <row r="80">
      <c r="A80" t="n">
        <v>7</v>
      </c>
      <c r="B80" t="inlineStr">
        <is>
          <t>Glaze (exterior)</t>
        </is>
      </c>
      <c r="C80" t="inlineStr">
        <is>
          <t>1 pint</t>
        </is>
      </c>
      <c r="D80" t="inlineStr">
        <is>
          <t>Cone 6; matte earth tones recommended for authentic look</t>
        </is>
      </c>
      <c r="E80" t="inlineStr">
        <is>
          <t>$10-20</t>
        </is>
      </c>
    </row>
    <row r="81">
      <c r="A81" t="n">
        <v>8</v>
      </c>
      <c r="B81" t="inlineStr">
        <is>
          <t>Rubber feet (set of 3)</t>
        </is>
      </c>
      <c r="C81" t="inlineStr">
        <is>
          <t>1 set</t>
        </is>
      </c>
      <c r="D81" t="inlineStr">
        <is>
          <t>Self-adhesive; prevents sliding and dampens bottom</t>
        </is>
      </c>
      <c r="E81" t="inlineStr">
        <is>
          <t>$3-5</t>
        </is>
      </c>
    </row>
    <row r="82">
      <c r="A82" t="n">
        <v>9</v>
      </c>
      <c r="B82" t="inlineStr">
        <is>
          <t>Contact pickup (optional)</t>
        </is>
      </c>
      <c r="C82" t="n">
        <v>1</v>
      </c>
      <c r="D82" t="inlineStr">
        <is>
          <t>Piezo disc; epoxy to inside wall near side hole</t>
        </is>
      </c>
      <c r="E82" t="inlineStr">
        <is>
          <t>$15-30</t>
        </is>
      </c>
    </row>
    <row r="83">
      <c r="B83" s="472" t="inlineStr">
        <is>
          <t>STARTUP TOTAL (mold + materials)</t>
        </is>
      </c>
      <c r="E83" s="472" t="inlineStr">
        <is>
          <t>$131-247</t>
        </is>
      </c>
    </row>
    <row r="84">
      <c r="B84" s="472" t="inlineStr">
        <is>
          <t>PER UDU (after mold is made)</t>
        </is>
      </c>
      <c r="C84" t="inlineStr">
        <is>
          <t>← Sell at $60-150 each</t>
        </is>
      </c>
      <c r="E84" s="472" t="inlineStr">
        <is>
          <t>$8-20</t>
        </is>
      </c>
    </row>
    <row r="86" ht="15" customHeight="1" s="817">
      <c r="A86" s="751" t="inlineStr">
        <is>
          <t>DESIGN NOTES</t>
        </is>
      </c>
      <c r="B86" s="752" t="n"/>
      <c r="C86" s="752" t="n"/>
      <c r="D86" s="752" t="n"/>
      <c r="E86" s="752" t="n"/>
    </row>
    <row r="87">
      <c r="A87" t="inlineStr">
        <is>
          <t>1. VOLUME CONTROLS PITCH. A 10% volume increase lowers the Helmholtz frequency by ~5%. This is why slip casting (consistent volume) beats wheel throwing for tuned sets.</t>
        </is>
      </c>
    </row>
    <row r="88">
      <c r="A88" t="inlineStr">
        <is>
          <t>2. SIDE HOLE SIZE is your primary tuning control after firing. Enlarging it LOWERS the bass tone (counterintuitive: bigger hole = lower pitch because L_eff changes dominate at small sizes).</t>
        </is>
      </c>
    </row>
    <row r="89">
      <c r="A89" t="inlineStr">
        <is>
          <t>3. WALL THICKNESS affects tap tone (idiophone) but NOT Helmholtz pitch. Thinner walls = louder tap + more fragile. 6-8mm is the sweet spot.</t>
        </is>
      </c>
    </row>
    <row r="90">
      <c r="A90" t="inlineStr">
        <is>
          <t>4. LEAVE INSIDE UNGLAZED. Glaze dampens the interior reflections that give the Udu its rich overtones. Glaze exterior only for durability.</t>
        </is>
      </c>
    </row>
    <row r="91">
      <c r="A91" t="inlineStr">
        <is>
          <t>5. SHRINKAGE MATTERS. A 12% shrinkage clay means your mold master must be 1/(1-0.12) = 1.136x oversize. CAD this into the 3D print.</t>
        </is>
      </c>
    </row>
    <row r="92">
      <c r="A92" t="inlineStr">
        <is>
          <t>6. FOR A TUNED FAMILY (4 sizes): build all 4 molds from the same master, scaled parametrically in SolidWorks. One design table drives all sizes.</t>
        </is>
      </c>
    </row>
    <row r="93">
      <c r="A93" t="inlineStr">
        <is>
          <t>7. THE WATER UDU is the most fascinating variant. Add water through the mouth; as you tilt, the water shifts = volume changes = pitch bends in real time. Like a liquid talking drum.</t>
        </is>
      </c>
    </row>
    <row r="94">
      <c r="A94" t="inlineStr">
        <is>
          <t>8. ART FAIR PRICING: Small $60, Medium $85, Large $120, XL $150. A family of 4 displayed together = $415. Material cost ~$50 total = massive margin.</t>
        </is>
      </c>
    </row>
    <row r="95">
      <c r="A95" t="inlineStr">
        <is>
          <t>9. ELECTRIC OPTION: Epoxy a piezo disc to the inside wall near the side hole. Amplified Udu sounds incredible through a bass amp or PA with reverb.</t>
        </is>
      </c>
    </row>
    <row r="96">
      <c r="A96" t="inlineStr">
        <is>
          <t>10. CROSS-REFERENCE: Same Helmholtz formula as your Ocarina, Handpan Gu, Cajón, and Resonant Box sheets. The Udu is the purest application of this physics.</t>
        </is>
      </c>
    </row>
    <row r="97">
      <c r="A97" t="inlineStr">
        <is>
          <t>11. UTAR BUILD: For the dual-chamber variant, throw or cast two pots of different sizes and join at the mouths with slip while leather-hard. The neck between them is the coupling port.</t>
        </is>
      </c>
    </row>
    <row r="98">
      <c r="A98" t="inlineStr">
        <is>
          <t>12. CULTURAL NOTE: The Udu is sacred in Igbo tradition — the deep tones represent ancestral voices. Approach this instrument with respect for its origins.</t>
        </is>
      </c>
    </row>
    <row r="101" ht="18" customHeight="1" s="817">
      <c r="A101" s="850" t="inlineStr">
        <is>
          <t>WOLFRAM CLOUD NOTEBOOK SPEC — UDU DRUM FAMILY</t>
        </is>
      </c>
    </row>
    <row r="102">
      <c r="A102" s="734" t="inlineStr">
        <is>
          <t>Igbo (Nigeria) ceramic pot drum — DUAL Helmholtz (top hole + side hole) gives 2 distinct tones.</t>
        </is>
      </c>
    </row>
    <row r="104">
      <c r="A104" s="609" t="inlineStr">
        <is>
          <t>§1 — Origin &amp; Etymology</t>
        </is>
      </c>
    </row>
    <row r="105">
      <c r="A105" t="inlineStr">
        <is>
          <t>Origin: Igbo people of southeastern Nigeria. Traditionally water jar repurposed as drum by women (sacred-instrument lineage).</t>
        </is>
      </c>
    </row>
    <row r="106">
      <c r="A106" s="759" t="inlineStr">
        <is>
          <t>Udu' Igbo for 'pot/vessel'. Cousins: kim kim (smaller), ibo drum, udongo (larger).</t>
        </is>
      </c>
    </row>
    <row r="107">
      <c r="A107" t="inlineStr">
        <is>
          <t>Wolfram items: GeoGraphics Igboland (SE Nigeria); TimelinePlot[{ancient pot drums, 1965 Frank Giorgini popularization, modern artisan studios}].</t>
        </is>
      </c>
    </row>
    <row r="109">
      <c r="A109" s="609" t="inlineStr">
        <is>
          <t>§2 — Physics</t>
        </is>
      </c>
    </row>
    <row r="110">
      <c r="A110" t="inlineStr">
        <is>
          <t>Dual Helmholtz: top hole + side hole share the same chamber → two coupled Helmholtz modes.</t>
        </is>
      </c>
    </row>
    <row r="111">
      <c r="A111" t="inlineStr">
        <is>
          <t>Top mode: f1 = (c/2π)·√(A_top/(V·L_top)). Side mode similar.</t>
        </is>
      </c>
    </row>
    <row r="112">
      <c r="A112" t="inlineStr">
        <is>
          <t>Coupling: when both open, modes split; when side covered/uncovered by hand, pitch jumps audibly — playing technique exploits this for 'wet' pitch bends.</t>
        </is>
      </c>
    </row>
    <row r="113">
      <c r="A113" t="inlineStr">
        <is>
          <t>Wolfram functions: 2-resonator Helmholtz coupled-mode analysis; Eigensystem for the 2×2 system.</t>
        </is>
      </c>
    </row>
    <row r="115">
      <c r="A115" s="609" t="inlineStr">
        <is>
          <t>§3 — Geometry &amp; Materials</t>
        </is>
      </c>
    </row>
    <row r="116">
      <c r="A116" t="inlineStr">
        <is>
          <t>4 sizes (S/M/L/XL) + 5 variants (Utar, Kim Kim, Claytone, Udongo, Water udu). Slip-cast porcelain or stoneware.</t>
        </is>
      </c>
    </row>
    <row r="117">
      <c r="A117" t="inlineStr">
        <is>
          <t>Top hole ~30–60 mm; side hole ~20–40 mm. Volume varies by size.</t>
        </is>
      </c>
    </row>
    <row r="118">
      <c r="A118" t="inlineStr">
        <is>
          <t>Wolfram items: Manipulate top_A, side_A, V → coupled-mode frequencies; ParametricPlot3D pot shape.</t>
        </is>
      </c>
    </row>
    <row r="120">
      <c r="A120" s="609" t="inlineStr">
        <is>
          <t>§4 — Animations</t>
        </is>
      </c>
    </row>
    <row r="121">
      <c r="A121" t="inlineStr">
        <is>
          <t>Hand-on-side-hole Animate: cover/uncover side → see pitch jump in real time.</t>
        </is>
      </c>
    </row>
    <row r="122">
      <c r="A122" t="inlineStr">
        <is>
          <t>Coupled-mode visualizer: in-phase vs out-of-phase oscillation.</t>
        </is>
      </c>
    </row>
    <row r="124">
      <c r="A124" s="609" t="inlineStr">
        <is>
          <t>§5 — Executable Cells</t>
        </is>
      </c>
    </row>
    <row r="125">
      <c r="A125" t="inlineStr">
        <is>
          <t>fHelm[A_,V_,L_]:=(343/(2 π)) Sqrt[A/(V L)]</t>
        </is>
      </c>
    </row>
    <row r="126">
      <c r="A126" t="inlineStr">
        <is>
          <t>coupledUdu[A1_,A2_,V_,L1_,L2_]:= Eigenvalues[ matrix ]^(1/2)</t>
        </is>
      </c>
    </row>
    <row r="127">
      <c r="A127" t="inlineStr">
        <is>
          <t>uduSizes := {{small, V_S}, {medium, V_M}, {large, V_L}, {xl, V_XL}}</t>
        </is>
      </c>
    </row>
    <row r="129">
      <c r="A129" s="609" t="inlineStr">
        <is>
          <t>§6 — Wolfram Functions</t>
        </is>
      </c>
    </row>
    <row r="130">
      <c r="A130" t="inlineStr">
        <is>
          <t>Eigensystem, Manipulate, Animate, FindRoot, Periodogram, CloudDeploy, FormFunction.</t>
        </is>
      </c>
    </row>
    <row r="132" ht="18" customHeight="1" s="817">
      <c r="A132" s="851" t="inlineStr">
        <is>
          <t>WOLFRAM EXPLORATIONS — UDU DRUM FAMILY</t>
        </is>
      </c>
    </row>
    <row r="133">
      <c r="A133" s="734" t="inlineStr">
        <is>
          <t>Roadmap-inspired notebook ideas mapped to this instrument.</t>
        </is>
      </c>
    </row>
    <row r="135">
      <c r="A135" s="808" t="inlineStr">
        <is>
          <t>Coupled Helmholtz</t>
        </is>
      </c>
    </row>
    <row r="136">
      <c r="A136" s="811" t="inlineStr">
        <is>
          <t>→ Helmholtz Tuner + Coupled Oscillator (roadmap)</t>
        </is>
      </c>
    </row>
    <row r="137">
      <c r="A137" t="inlineStr">
        <is>
          <t>DUAL Helmholtz: top hole + side hole share chamber. 2x2 eigenvalue analysis gives mode split as a function of A_top/A_side. Animate hand covering side-hole → mode collapse → pitch jump.</t>
        </is>
      </c>
    </row>
    <row r="138">
      <c r="A138" t="inlineStr">
        <is>
          <t>5 variants compared (Utar, Kim Kim, Claytone, Udongo, Water): plot mode-split landscape; predict which variant has biggest 'wet' bend.</t>
        </is>
      </c>
    </row>
    <row r="140">
      <c r="A140" s="808" t="inlineStr">
        <is>
          <t>Manufacturing</t>
        </is>
      </c>
    </row>
    <row r="141">
      <c r="A141" s="811" t="inlineStr">
        <is>
          <t>→ Parametric → STL + Shrinkage Comp (roadmap)</t>
        </is>
      </c>
    </row>
    <row r="142">
      <c r="A142" t="inlineStr">
        <is>
          <t>Pot shape parametric. Account for 12% slip-cast shrinkage in master STL. Vary pot proportions to hit target tuning.</t>
        </is>
      </c>
    </row>
    <row r="144">
      <c r="A144" s="808" t="inlineStr">
        <is>
          <t>Cultural</t>
        </is>
      </c>
    </row>
    <row r="145">
      <c r="A145" s="811" t="inlineStr">
        <is>
          <t>→ World Atlas (roadmap)</t>
        </is>
      </c>
    </row>
    <row r="146">
      <c r="A146" t="inlineStr">
        <is>
          <t>Map Igboland + diaspora; phylogeny of pot drums (water jar instruments worldwide).</t>
        </is>
      </c>
    </row>
  </sheetData>
  <mergeCells count="2">
    <mergeCell ref="A101:B101"/>
    <mergeCell ref="A132:B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2026-05-01T02:02:13Z</dcterms:created>
  <dcterms:modified xmlns:dcterms="http://purl.org/dc/terms/" xmlns:xsi="http://www.w3.org/2001/XMLSchema-instance" xsi:type="dcterms:W3CDTF">2026-05-02T18:58:39Z</dcterms:modified>
  <cp:lastModifiedBy>Tony Koop</cp:lastModifiedBy>
</cp:coreProperties>
</file>