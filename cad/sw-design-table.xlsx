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0" customWidth="1" min="3" max="3"/>
    <col width="34" customWidth="1" min="4" max="4"/>
    <col width="33" customWidth="1" min="5" max="5"/>
    <col width="31" customWidth="1" min="6" max="6"/>
    <col width="33" customWidth="1" min="7" max="7"/>
    <col width="30" customWidth="1" min="8" max="8"/>
    <col width="32" customWidth="1" min="9" max="9"/>
    <col width="31" customWidth="1" min="10" max="10"/>
    <col width="31" customWidth="1" min="11" max="11"/>
    <col width="38" customWidth="1" min="12" max="12"/>
    <col width="37" customWidth="1" min="13" max="13"/>
    <col width="36" customWidth="1" min="14" max="14"/>
    <col width="36" customWidth="1" min="15" max="15"/>
    <col width="35" customWidth="1" min="16" max="16"/>
    <col width="38" customWidth="1" min="17" max="17"/>
  </cols>
  <sheetData>
    <row r="1">
      <c r="A1" s="1" t="inlineStr">
        <is>
          <t>Design Table for: UDU-001_BodyMaster</t>
        </is>
      </c>
    </row>
    <row r="2">
      <c r="A2" s="2" t="inlineStr"/>
      <c r="B2" s="2" t="inlineStr">
        <is>
          <t>$DESCRIPTION</t>
        </is>
      </c>
      <c r="C2" s="2" t="inlineStr">
        <is>
          <t>$COLOR</t>
        </is>
      </c>
      <c r="D2" s="2" t="inlineStr">
        <is>
          <t>$VALUE@target_hz_mouth@Equations</t>
        </is>
      </c>
      <c r="E2" s="2" t="inlineStr">
        <is>
          <t>$VALUE@target_hz_side@Equations</t>
        </is>
      </c>
      <c r="F2" s="2" t="inlineStr">
        <is>
          <t>$VALUE@body_diam_in@Equations</t>
        </is>
      </c>
      <c r="G2" s="2" t="inlineStr">
        <is>
          <t>$VALUE@body_height_in@Equations</t>
        </is>
      </c>
      <c r="H2" s="2" t="inlineStr">
        <is>
          <t>$VALUE@wall_thk_in@Equations</t>
        </is>
      </c>
      <c r="I2" s="2" t="inlineStr">
        <is>
          <t>$VALUE@mouth_diam_in@Equations</t>
        </is>
      </c>
      <c r="J2" s="2" t="inlineStr">
        <is>
          <t>$VALUE@side_diam_in@Equations</t>
        </is>
      </c>
      <c r="K2" s="2" t="inlineStr">
        <is>
          <t>$VALUE@shape_factor@Equations</t>
        </is>
      </c>
      <c r="L2" s="2" t="inlineStr">
        <is>
          <t>$VALUE@chamber_volume_cuin@Equations</t>
        </is>
      </c>
      <c r="M2" s="2" t="inlineStr">
        <is>
          <t>$VALUE@predicted_hz_mouth@Equations</t>
        </is>
      </c>
      <c r="N2" s="2" t="inlineStr">
        <is>
          <t>$VALUE@predicted_hz_side@Equations</t>
        </is>
      </c>
      <c r="O2" s="2" t="inlineStr">
        <is>
          <t>$VALUE@cents_error_mouth@Equations</t>
        </is>
      </c>
      <c r="P2" s="2" t="inlineStr">
        <is>
          <t>$VALUE@cents_error_side@Equations</t>
        </is>
      </c>
      <c r="Q2" s="2" t="inlineStr">
        <is>
          <t>$VALUE@master_scale_factor@Equations</t>
        </is>
      </c>
    </row>
    <row r="3">
      <c r="A3" t="inlineStr">
        <is>
          <t>UDU-S</t>
        </is>
      </c>
      <c r="B3" t="inlineStr">
        <is>
          <t>Small/tabletop. Predictions sharp of targets — mouth dia likely needs to drop ~2.5 in OR shape factor increased to reduce predicted Hz; flag for empirical UDU-P1 measurement.</t>
        </is>
      </c>
      <c r="C3" t="inlineStr">
        <is>
          <t>15000804</t>
        </is>
      </c>
      <c r="D3">
        <f>311.13</f>
        <v/>
      </c>
      <c r="E3">
        <f>220.00</f>
        <v/>
      </c>
      <c r="F3">
        <f>8.0in</f>
        <v/>
      </c>
      <c r="G3">
        <f>10.0in</f>
        <v/>
      </c>
      <c r="H3">
        <f>0.30in</f>
        <v/>
      </c>
      <c r="I3">
        <f>3.0in</f>
        <v/>
      </c>
      <c r="J3">
        <f>2.0in</f>
        <v/>
      </c>
      <c r="K3">
        <f>0.70</f>
        <v/>
      </c>
      <c r="L3">
        <f>234.6</f>
        <v/>
      </c>
      <c r="M3">
        <f>340.8</f>
        <v/>
      </c>
      <c r="N3">
        <f>262.4</f>
        <v/>
      </c>
      <c r="O3">
        <f>+157</f>
        <v/>
      </c>
      <c r="P3">
        <f>+304</f>
        <v/>
      </c>
      <c r="Q3">
        <f>1.136</f>
        <v/>
      </c>
    </row>
    <row r="4">
      <c r="A4" t="inlineStr">
        <is>
          <t>UDU-M</t>
        </is>
      </c>
      <c r="B4" t="inlineStr">
        <is>
          <t>Medium/standard. Workbook prototype-1 target. Predictions within ±50¢ of targets — hits the v4 design-table band.</t>
        </is>
      </c>
      <c r="C4" t="inlineStr">
        <is>
          <t>15000804</t>
        </is>
      </c>
      <c r="D4">
        <f>246.94</f>
        <v/>
      </c>
      <c r="E4">
        <f>196.00</f>
        <v/>
      </c>
      <c r="F4">
        <f>10.0in</f>
        <v/>
      </c>
      <c r="G4">
        <f>12.0in</f>
        <v/>
      </c>
      <c r="H4">
        <f>0.30in</f>
        <v/>
      </c>
      <c r="I4">
        <f>3.0in</f>
        <v/>
      </c>
      <c r="J4">
        <f>2.0in</f>
        <v/>
      </c>
      <c r="K4">
        <f>0.70</f>
        <v/>
      </c>
      <c r="L4">
        <f>439.8</f>
        <v/>
      </c>
      <c r="M4">
        <f>248.9</f>
        <v/>
      </c>
      <c r="N4">
        <f>191.6</f>
        <v/>
      </c>
      <c r="O4">
        <f>+14</f>
        <v/>
      </c>
      <c r="P4">
        <f>-39</f>
        <v/>
      </c>
      <c r="Q4">
        <f>1.136</f>
        <v/>
      </c>
    </row>
    <row r="5">
      <c r="A5" t="inlineStr">
        <is>
          <t>UDU-L</t>
        </is>
      </c>
      <c r="B5" t="inlineStr">
        <is>
          <t>Large/deep bass. Mouth prediction flat of target — port may need to enlarge slightly OR shape factor reduced; flag for empirical UDU-L measurement.</t>
        </is>
      </c>
      <c r="C5" t="inlineStr">
        <is>
          <t>15000804</t>
        </is>
      </c>
      <c r="D5">
        <f>207.65</f>
        <v/>
      </c>
      <c r="E5">
        <f>146.83</f>
        <v/>
      </c>
      <c r="F5">
        <f>12.0in</f>
        <v/>
      </c>
      <c r="G5">
        <f>14.0in</f>
        <v/>
      </c>
      <c r="H5">
        <f>0.30in</f>
        <v/>
      </c>
      <c r="I5">
        <f>3.0in</f>
        <v/>
      </c>
      <c r="J5">
        <f>2.0in</f>
        <v/>
      </c>
      <c r="K5">
        <f>0.70</f>
        <v/>
      </c>
      <c r="L5">
        <f>738.8</f>
        <v/>
      </c>
      <c r="M5">
        <f>192.1</f>
        <v/>
      </c>
      <c r="N5">
        <f>148.0</f>
        <v/>
      </c>
      <c r="O5">
        <f>-126</f>
        <v/>
      </c>
      <c r="P5">
        <f>+14</f>
        <v/>
      </c>
      <c r="Q5">
        <f>1.136</f>
        <v/>
      </c>
    </row>
    <row r="6">
      <c r="A6" t="inlineStr">
        <is>
          <t>UDU-XL</t>
        </is>
      </c>
      <c r="B6" t="inlineStr">
        <is>
          <t>Concert bass. Predictions flat across both ports — XL may need port scaling (mouth 3.5+ in) to recover pitch; needs stand. Flag as design risk — see risks.md.</t>
        </is>
      </c>
      <c r="C6" t="inlineStr">
        <is>
          <t>15000804</t>
        </is>
      </c>
      <c r="D6">
        <f>174.61</f>
        <v/>
      </c>
      <c r="E6">
        <f>130.81</f>
        <v/>
      </c>
      <c r="F6">
        <f>14.0in</f>
        <v/>
      </c>
      <c r="G6">
        <f>16.0in</f>
        <v/>
      </c>
      <c r="H6">
        <f>0.30in</f>
        <v/>
      </c>
      <c r="I6">
        <f>3.0in</f>
        <v/>
      </c>
      <c r="J6">
        <f>2.0in</f>
        <v/>
      </c>
      <c r="K6">
        <f>0.70</f>
        <v/>
      </c>
      <c r="L6">
        <f>1148.7</f>
        <v/>
      </c>
      <c r="M6">
        <f>153.9</f>
        <v/>
      </c>
      <c r="N6">
        <f>118.5</f>
        <v/>
      </c>
      <c r="O6">
        <f>-220</f>
        <v/>
      </c>
      <c r="P6">
        <f>-172</f>
        <v/>
      </c>
      <c r="Q6">
        <f>1.136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2026-05-07T02:35:21Z</dcterms:created>
  <dcterms:modified xmlns:dcterms="http://purl.org/dc/terms/" xmlns:xsi="http://www.w3.org/2001/XMLSchema-instance" xsi:type="dcterms:W3CDTF">2026-05-07T02:35:21Z</dcterms:modified>
</cp:coreProperties>
</file>